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Summary" state="visible" r:id="rId5"/>
    <sheet sheetId="3" name="Infra Provisioning" state="visible" r:id="rId6"/>
    <sheet sheetId="4" name="Network Connectivity" state="visible" r:id="rId7"/>
    <sheet sheetId="5" name="Security &amp; Identity" state="visible" r:id="rId8"/>
    <sheet sheetId="6" name="App Deployment" state="visible" r:id="rId9"/>
    <sheet sheetId="7" name="Database Migration" state="visible" r:id="rId10"/>
    <sheet sheetId="8" name="Integration &amp; API" state="visible" r:id="rId11"/>
    <sheet sheetId="9" name="Performance &amp; Load" state="visible" r:id="rId12"/>
    <sheet sheetId="10" name="DR &amp; Backup" state="visible" r:id="rId13"/>
    <sheet sheetId="11" name="Monitoring &amp; Alerting" state="visible" r:id="rId14"/>
    <sheet sheetId="12" name="UAT End-to-End" state="visible" r:id="rId15"/>
    <sheet sheetId="13" name="Defect Log" state="visible" r:id="rId16"/>
    <sheet sheetId="14" name="Sign-off" state="visible" r:id="rId17"/>
  </sheets>
  <calcPr calcId="171027"/>
</workbook>
</file>

<file path=xl/sharedStrings.xml><?xml version="1.0" encoding="utf-8"?>
<sst xmlns="http://schemas.openxmlformats.org/spreadsheetml/2006/main" count="1523" uniqueCount="485">
  <si>
    <t xml:space="preserve">UST PACS PM Agent
Azure Deployment Test Plan</t>
  </si>
  <si>
    <t>UST Global Delivery — Azure Infrastructure &amp; Application Deployment</t>
  </si>
  <si>
    <t>Document Title</t>
  </si>
  <si>
    <t>Azure Deployment Test Plan — UST PM Agent</t>
  </si>
  <si>
    <t>Project</t>
  </si>
  <si>
    <t>PACS PM Agent — Azure Migration</t>
  </si>
  <si>
    <t>Client</t>
  </si>
  <si>
    <t>UST Internal</t>
  </si>
  <si>
    <t>Environment</t>
  </si>
  <si>
    <t>UST Azure Tenant (Production)</t>
  </si>
  <si>
    <t>Prepared By</t>
  </si>
  <si>
    <t>PM Agent Delivery Team</t>
  </si>
  <si>
    <t>Reviewed By</t>
  </si>
  <si>
    <t/>
  </si>
  <si>
    <t>Approved By</t>
  </si>
  <si>
    <t>Version</t>
  </si>
  <si>
    <t>1.0</t>
  </si>
  <si>
    <t>Date</t>
  </si>
  <si>
    <t>25 Aug 2026</t>
  </si>
  <si>
    <t>Confidentiality</t>
  </si>
  <si>
    <t>UST INTERNAL — NOT FOR EXTERNAL DISTRIBUTION</t>
  </si>
  <si>
    <t>TEST STATUS KEY</t>
  </si>
  <si>
    <t>PASS</t>
  </si>
  <si>
    <t>Test executed — outcome meets acceptance criteria</t>
  </si>
  <si>
    <t>FAIL</t>
  </si>
  <si>
    <t>Test executed — outcome does NOT meet criteria; defect raised</t>
  </si>
  <si>
    <t>BLOCKED</t>
  </si>
  <si>
    <t>Test cannot proceed; dependency or environment issue</t>
  </si>
  <si>
    <t>NOT RUN</t>
  </si>
  <si>
    <t>Test not yet executed</t>
  </si>
  <si>
    <t>IN PROGRESS</t>
  </si>
  <si>
    <t>Test currently executing</t>
  </si>
  <si>
    <t>N/A</t>
  </si>
  <si>
    <t>Test not applicable in this environment/phase</t>
  </si>
  <si>
    <t>TEST EXECUTION SUMMARY DASHBOARD</t>
  </si>
  <si>
    <t>Test Area</t>
  </si>
  <si>
    <t>Total</t>
  </si>
  <si>
    <t>Pass</t>
  </si>
  <si>
    <t>Fail</t>
  </si>
  <si>
    <t>Blocked</t>
  </si>
  <si>
    <t>Not Run</t>
  </si>
  <si>
    <t>Pass %</t>
  </si>
  <si>
    <t>Status</t>
  </si>
  <si>
    <t>Infrastructure Provisioning</t>
  </si>
  <si>
    <t>Network &amp; Connectivity</t>
  </si>
  <si>
    <t>Security &amp; Identity</t>
  </si>
  <si>
    <t>Application Deployment</t>
  </si>
  <si>
    <t>Database Migration</t>
  </si>
  <si>
    <t>Integration &amp; API</t>
  </si>
  <si>
    <t>Performance &amp; Load</t>
  </si>
  <si>
    <t>Disaster Recovery &amp; Backup</t>
  </si>
  <si>
    <t>Monitoring &amp; Alerting</t>
  </si>
  <si>
    <t>UAT — End-to-End Flows</t>
  </si>
  <si>
    <t>TOTAL</t>
  </si>
  <si>
    <t>NOTE: Update Total / Pass / Fail / Blocked / Not Run columns manually as tests execute. Pass % and Status columns are calculated automatically.</t>
  </si>
  <si>
    <t>TEST CASES — INFRASTRUCTURE PROVISIONING</t>
  </si>
  <si>
    <t>Test ID</t>
  </si>
  <si>
    <t>Test Case Name</t>
  </si>
  <si>
    <t>Test Steps / Description</t>
  </si>
  <si>
    <t>Expected Result</t>
  </si>
  <si>
    <t>Priority</t>
  </si>
  <si>
    <t>Tester</t>
  </si>
  <si>
    <t>Date Executed</t>
  </si>
  <si>
    <t>Actual Result / Notes</t>
  </si>
  <si>
    <t>Defect ID</t>
  </si>
  <si>
    <t>Evidence / Screenshot</t>
  </si>
  <si>
    <t>Sign-off</t>
  </si>
  <si>
    <t>TC-INF-001</t>
  </si>
  <si>
    <t>Resource Group creation</t>
  </si>
  <si>
    <t>Verify RG 'UST-PACS-PMAgent-RG' created in correct subscription and region (UK South / Southeast Asia)</t>
  </si>
  <si>
    <t>Resource Group exists with correct tags (Project, Env, Owner, CostCentre)</t>
  </si>
  <si>
    <t>Critical</t>
  </si>
  <si>
    <t>TC-INF-002</t>
  </si>
  <si>
    <t>Azure App Service Plan</t>
  </si>
  <si>
    <t>Verify App Service Plan (P2v3 or above) provisioned in target RG</t>
  </si>
  <si>
    <t>ASP shows Running state; SKU matches approved sizing document</t>
  </si>
  <si>
    <t>High</t>
  </si>
  <si>
    <t>TC-INF-003</t>
  </si>
  <si>
    <t>App Service deployment</t>
  </si>
  <si>
    <t>Deploy PM Agent Next.js app to App Service staging slot</t>
  </si>
  <si>
    <t>App Service returns HTTP 200 on health endpoint /api/health</t>
  </si>
  <si>
    <t>TC-INF-004</t>
  </si>
  <si>
    <t>Staging slot swap to production</t>
  </si>
  <si>
    <t>Perform slot swap from staging → production</t>
  </si>
  <si>
    <t>Production URL serves latest build; downtime &lt; 30s during swap</t>
  </si>
  <si>
    <t>TC-INF-005</t>
  </si>
  <si>
    <t>Storage Account provisioning</t>
  </si>
  <si>
    <t>Verify Azure Storage Account (LRS/ZRS) created for blob/file storage</t>
  </si>
  <si>
    <t>Storage account exists; access tier = Hot; public access = Disabled</t>
  </si>
  <si>
    <t>TC-INF-006</t>
  </si>
  <si>
    <t>Key Vault provisioning</t>
  </si>
  <si>
    <t>Verify Azure Key Vault created with RBAC enabled; no legacy access policies</t>
  </si>
  <si>
    <t>Key Vault accessible by App Service managed identity; secrets readable</t>
  </si>
  <si>
    <t>TC-INF-007</t>
  </si>
  <si>
    <t>Managed Identity assignment</t>
  </si>
  <si>
    <t>Assign system-assigned managed identity to App Service</t>
  </si>
  <si>
    <t>Identity visible in Azure AD; can read secrets from Key Vault without credentials</t>
  </si>
  <si>
    <t>TC-INF-008</t>
  </si>
  <si>
    <t>Auto-scaling rules</t>
  </si>
  <si>
    <t>Configure scale-out rule (CPU &gt; 70% for 5 min) and scale-in rule</t>
  </si>
  <si>
    <t>Simulated load triggers scale-out; idle period triggers scale-in within 10 min</t>
  </si>
  <si>
    <t>Medium</t>
  </si>
  <si>
    <t>TC-INF-009</t>
  </si>
  <si>
    <t>Resource tagging compliance</t>
  </si>
  <si>
    <t>Verify all resources tagged per UST tagging policy</t>
  </si>
  <si>
    <t>All resources have: Project, Environment, Owner, CostCentre, CreatedDate tags</t>
  </si>
  <si>
    <t>TC-INF-010</t>
  </si>
  <si>
    <t>ARM/Bicep template idempotency</t>
  </si>
  <si>
    <t>Re-run Bicep deployment template against existing resources</t>
  </si>
  <si>
    <t>Deployment completes with no changes; no resources recreated or deleted</t>
  </si>
  <si>
    <t>Yellow cells = fill-in by test team. Use Status dropdown. Link Defect IDs to project issue tracker.</t>
  </si>
  <si>
    <t>TEST CASES — NETWORK &amp; CONNECTIVITY</t>
  </si>
  <si>
    <t>TC-NET-001</t>
  </si>
  <si>
    <t>Virtual Network provisioning</t>
  </si>
  <si>
    <t>Verify VNet 'UST-PACS-VNet' created with address space 10.x.x.x/16</t>
  </si>
  <si>
    <t>VNet exists; subnets (App, DB, Management) configured per network design</t>
  </si>
  <si>
    <t>TC-NET-002</t>
  </si>
  <si>
    <t>Private Endpoint — Neon DB</t>
  </si>
  <si>
    <t>Verify Private Endpoint to Neon PostgreSQL database is active</t>
  </si>
  <si>
    <t>Database reachable from App Service via private IP; public access blocked</t>
  </si>
  <si>
    <t>TC-NET-003</t>
  </si>
  <si>
    <t>Private Endpoint — Key Vault</t>
  </si>
  <si>
    <t>Verify Private Endpoint to Key Vault is active</t>
  </si>
  <si>
    <t>Key Vault DNS resolves to private IP from within VNet</t>
  </si>
  <si>
    <t>TC-NET-004</t>
  </si>
  <si>
    <t>NSG rules — inbound</t>
  </si>
  <si>
    <t>Verify NSG allows HTTPS (443) inbound from UST corporate IP ranges only</t>
  </si>
  <si>
    <t>Requests from non-UST IPs return 403; UST IPs return expected response</t>
  </si>
  <si>
    <t>TC-NET-005</t>
  </si>
  <si>
    <t>NSG rules — outbound</t>
  </si>
  <si>
    <t>Verify NSG restricts outbound to approved external services only (Anthropic API, Resend)</t>
  </si>
  <si>
    <t>Curl from App Service to unapproved domains is blocked; approved domains reachable</t>
  </si>
  <si>
    <t>TC-NET-006</t>
  </si>
  <si>
    <t>App Service VNet Integration</t>
  </si>
  <si>
    <t>Verify App Service integrated with subnet for outbound VNet traffic</t>
  </si>
  <si>
    <t>App Service can reach resources in VNet; traffic routed via VNet</t>
  </si>
  <si>
    <t>TC-NET-007</t>
  </si>
  <si>
    <t>Azure Front Door / CDN</t>
  </si>
  <si>
    <t>Verify Front Door profile routes traffic to App Service origin</t>
  </si>
  <si>
    <t>Front Door health probe returns healthy; latency &lt; 200ms from UK</t>
  </si>
  <si>
    <t>TC-NET-008</t>
  </si>
  <si>
    <t>Custom domain and TLS</t>
  </si>
  <si>
    <t>Bind custom domain (pmagent.ust.com) with managed TLS certificate</t>
  </si>
  <si>
    <t>HTTPS works on custom domain; cert valid; HTTP redirects to HTTPS</t>
  </si>
  <si>
    <t>TC-NET-009</t>
  </si>
  <si>
    <t>DNS resolution</t>
  </si>
  <si>
    <t>Verify Azure Private DNS zones resolve correctly within VNet</t>
  </si>
  <si>
    <t>nslookup from App Service returns private IPs for all Private Endpoints</t>
  </si>
  <si>
    <t>TC-NET-010</t>
  </si>
  <si>
    <t>Connectivity to Anthropic API</t>
  </si>
  <si>
    <t>Verify outbound HTTPS to api.anthropic.com from App Service</t>
  </si>
  <si>
    <t>API call to claude-sonnet-4-6 returns 200; latency &lt; 5s</t>
  </si>
  <si>
    <t>TEST CASES — SECURITY &amp; IDENTITY</t>
  </si>
  <si>
    <t>TC-SEC-001</t>
  </si>
  <si>
    <t>Azure AD App Registration</t>
  </si>
  <si>
    <t>Verify App Registration for PM Agent exists with correct redirect URIs</t>
  </si>
  <si>
    <t>App Registration present; redirect URI matches production URL; no extra permissions</t>
  </si>
  <si>
    <t>TC-SEC-002</t>
  </si>
  <si>
    <t>NextAuth authentication</t>
  </si>
  <si>
    <t>Verify users can sign in via Azure AD / email-OTP</t>
  </si>
  <si>
    <t>Sign-in flow completes; session cookie set; user redirected to dashboard</t>
  </si>
  <si>
    <t>TC-SEC-003</t>
  </si>
  <si>
    <t>RBAC — PM user</t>
  </si>
  <si>
    <t>Sign in as PM-role user; attempt admin actions</t>
  </si>
  <si>
    <t>Admin menu not visible; API returns 403 on admin endpoints</t>
  </si>
  <si>
    <t>TC-SEC-004</t>
  </si>
  <si>
    <t>RBAC — Admin user</t>
  </si>
  <si>
    <t>Sign in as Admin-role user; access admin panel</t>
  </si>
  <si>
    <t>Admin panel accessible; CRUD on templates/users succeeds</t>
  </si>
  <si>
    <t>TC-SEC-005</t>
  </si>
  <si>
    <t>Multi-tenancy isolation</t>
  </si>
  <si>
    <t>Create artifact as Org A; attempt access as Org B user via API</t>
  </si>
  <si>
    <t>Org B receives 404 or 403 on Org A project; zero data cross-contamination</t>
  </si>
  <si>
    <t>TC-SEC-006</t>
  </si>
  <si>
    <t>Secret rotation</t>
  </si>
  <si>
    <t>Rotate DATABASE_URL secret in Key Vault; verify app picks up new value</t>
  </si>
  <si>
    <t>App continues to function after secret rotation without restart</t>
  </si>
  <si>
    <t>TC-SEC-007</t>
  </si>
  <si>
    <t>HTTPS enforcement</t>
  </si>
  <si>
    <t>Attempt HTTP access to production URL</t>
  </si>
  <si>
    <t>HTTP request returns 301 redirect to HTTPS; no plaintext traffic served</t>
  </si>
  <si>
    <t>TC-SEC-008</t>
  </si>
  <si>
    <t>Security headers</t>
  </si>
  <si>
    <t>Run security header scan on production URL</t>
  </si>
  <si>
    <t>Score A or above; HSTS, CSP, X-Frame-Options, X-Content-Type-Options present</t>
  </si>
  <si>
    <t>TC-SEC-009</t>
  </si>
  <si>
    <t>OWASP Top 10 scan</t>
  </si>
  <si>
    <t>Run OWASP ZAP scan against staging environment</t>
  </si>
  <si>
    <t>No Critical or High findings; Medium findings documented with remediation plan</t>
  </si>
  <si>
    <t>TC-SEC-010</t>
  </si>
  <si>
    <t>Audit log — login events</t>
  </si>
  <si>
    <t>Review Azure AD sign-in logs after test logins</t>
  </si>
  <si>
    <t>Each login appears in AAD sign-in log with correct user, IP, outcome</t>
  </si>
  <si>
    <t>TC-SEC-011</t>
  </si>
  <si>
    <t>Key Vault access audit</t>
  </si>
  <si>
    <t>Review Key Vault diagnostic logs after app startup</t>
  </si>
  <si>
    <t>Secret reads in logs; no unexpected access patterns</t>
  </si>
  <si>
    <t>TC-SEC-012</t>
  </si>
  <si>
    <t>GDPR — data residency</t>
  </si>
  <si>
    <t>Verify all user data stored in approved Azure region</t>
  </si>
  <si>
    <t>Storage and DB in UK South / approved region; no data in unapproved regions</t>
  </si>
  <si>
    <t>TEST CASES — APPLICATION DEPLOYMENT</t>
  </si>
  <si>
    <t>TC-APP-001</t>
  </si>
  <si>
    <t>CI build pipeline</t>
  </si>
  <si>
    <t>Trigger CI build on push to main branch</t>
  </si>
  <si>
    <t>Build completes &lt; 10 min; TypeScript checks pass; no errors</t>
  </si>
  <si>
    <t>TC-APP-002</t>
  </si>
  <si>
    <t>Prisma client generation</t>
  </si>
  <si>
    <t>Verify prisma generate runs during build</t>
  </si>
  <si>
    <t>prisma generate completes; client in node_modules/@prisma/client</t>
  </si>
  <si>
    <t>TC-APP-003</t>
  </si>
  <si>
    <t>Environment variables</t>
  </si>
  <si>
    <t>Verify all required env vars present in App Service Configuration</t>
  </si>
  <si>
    <t>App starts without missing-env-var errors; DATABASE_URL, NEXTAUTH_SECRET, ANTHROPIC_API_KEY set via Key Vault references</t>
  </si>
  <si>
    <t>TC-APP-004</t>
  </si>
  <si>
    <t>Health endpoint</t>
  </si>
  <si>
    <t>GET /api/health returns 200</t>
  </si>
  <si>
    <t>Response: {status: 'ok'}; DB connectivity confirmed in response</t>
  </si>
  <si>
    <t>TC-APP-005</t>
  </si>
  <si>
    <t>Static assets</t>
  </si>
  <si>
    <t>Load dashboard page; check browser network tab</t>
  </si>
  <si>
    <t>All .js/.css assets return 200; no 404s; cache headers present</t>
  </si>
  <si>
    <t>TC-APP-006</t>
  </si>
  <si>
    <t>Server-side rendering</t>
  </si>
  <si>
    <t>Load /dashboard/projects as authenticated user</t>
  </si>
  <si>
    <t>Page renders server-side with user's project list; no hydration errors in console</t>
  </si>
  <si>
    <t>TC-APP-007</t>
  </si>
  <si>
    <t>Artifact generation API</t>
  </si>
  <si>
    <t>POST /api/projects/{id}/artifacts with type=wbs</t>
  </si>
  <si>
    <t>200 response with valid JSON artifact; generation completes &lt; 60s</t>
  </si>
  <si>
    <t>TC-APP-008</t>
  </si>
  <si>
    <t>SSE streaming response</t>
  </si>
  <si>
    <t>Trigger artifact generation; observe SSE chunks in DevTools</t>
  </si>
  <si>
    <t>Events stream progressively; no 30s timeout; final chunk contains complete artifact</t>
  </si>
  <si>
    <t>TC-APP-009</t>
  </si>
  <si>
    <t>Error handling — invalid input</t>
  </si>
  <si>
    <t>POST /api/projects/{id}/artifacts with invalid artifactType</t>
  </si>
  <si>
    <t>400 response with structured error {code: 'INVALID_ARTIFACT'}</t>
  </si>
  <si>
    <t>TC-APP-010</t>
  </si>
  <si>
    <t>Deployment rollback</t>
  </si>
  <si>
    <t>Roll back to previous deployment slot</t>
  </si>
  <si>
    <t>Previous version live within 5 min; no data loss; health endpoint returns 200</t>
  </si>
  <si>
    <t>TC-APP-011</t>
  </si>
  <si>
    <t>Domain intelligence — Healthcare</t>
  </si>
  <si>
    <t>Generate WBS for project with industry=Healthcare</t>
  </si>
  <si>
    <t>WBS includes IQ/OQ/PQ Validation and Clinical Safety workstream</t>
  </si>
  <si>
    <t>TC-APP-012</t>
  </si>
  <si>
    <t>Domain intelligence — Life Sciences</t>
  </si>
  <si>
    <t>Generate WBS for project with industry=Life Sciences</t>
  </si>
  <si>
    <t>WBS includes CSV/CQV Validation or GxP workstream</t>
  </si>
  <si>
    <t>TEST CASES — DATABASE MIGRATION</t>
  </si>
  <si>
    <t>TC-DB-001</t>
  </si>
  <si>
    <t>Neon DB connectivity</t>
  </si>
  <si>
    <t>Verify App Service connects to Neon PostgreSQL via connection string</t>
  </si>
  <si>
    <t>DB connection established; prisma.$connect() succeeds in health check</t>
  </si>
  <si>
    <t>TC-DB-002</t>
  </si>
  <si>
    <t>Schema migration</t>
  </si>
  <si>
    <t>Run prisma db push against production Neon DB</t>
  </si>
  <si>
    <t>All tables and indexes created; no errors; schema matches schema.prisma</t>
  </si>
  <si>
    <t>TC-DB-003</t>
  </si>
  <si>
    <t>Seed data</t>
  </si>
  <si>
    <t>Run prisma db seed against production DB</t>
  </si>
  <si>
    <t>Default org, admin user, roles created; login with seed credentials succeeds</t>
  </si>
  <si>
    <t>TC-DB-004</t>
  </si>
  <si>
    <t>Connection pooling</t>
  </si>
  <si>
    <t>Verify Neon serverless connection pooler configured</t>
  </si>
  <si>
    <t>Connection string includes pooler endpoint; no 'too many connections' error under load</t>
  </si>
  <si>
    <t>TC-DB-005</t>
  </si>
  <si>
    <t>Data integrity</t>
  </si>
  <si>
    <t>After migration, verify record counts match pre-migration snapshot</t>
  </si>
  <si>
    <t>Project, Artifact, User counts match; no orphaned records; FK constraints intact</t>
  </si>
  <si>
    <t>TC-DB-006</t>
  </si>
  <si>
    <t>SSL/TLS — DB connection</t>
  </si>
  <si>
    <t>Verify DATABASE_URL includes sslmode=require</t>
  </si>
  <si>
    <t>Connection without SSL fails; with SSL succeeds</t>
  </si>
  <si>
    <t>TC-DB-007</t>
  </si>
  <si>
    <t>DB backup verification</t>
  </si>
  <si>
    <t>Verify Neon point-in-time restore is enabled and tested</t>
  </si>
  <si>
    <t>Restore to 1-hour-ago snapshot succeeds; restored DB matches expected state</t>
  </si>
  <si>
    <t>TC-DB-008</t>
  </si>
  <si>
    <t>DB performance baseline</t>
  </si>
  <si>
    <t>Run 50 concurrent artifact generation requests; measure DB query time</t>
  </si>
  <si>
    <t>p95 query time &lt; 500ms; no timeouts; connection pool not exhausted</t>
  </si>
  <si>
    <t>TEST CASES — INTEGRATION &amp; API</t>
  </si>
  <si>
    <t>TC-INT-001</t>
  </si>
  <si>
    <t>Anthropic API — basic call</t>
  </si>
  <si>
    <t>POST to claude-sonnet-4-6 via AI lib</t>
  </si>
  <si>
    <t>Response received; stop_reason=end_turn; no 429 or 500 errors</t>
  </si>
  <si>
    <t>TC-INT-002</t>
  </si>
  <si>
    <t>Anthropic API — streaming</t>
  </si>
  <si>
    <t>Trigger streaming artifact generation</t>
  </si>
  <si>
    <t>SSE stream opens; chunks received; stream closes cleanly</t>
  </si>
  <si>
    <t>TC-INT-003</t>
  </si>
  <si>
    <t>Haiku domain pre-flight</t>
  </si>
  <si>
    <t>Generate WBS for Healthcare project; inspect server logs</t>
  </si>
  <si>
    <t>[domain-agent] log appears; Haiku call completes before stream starts</t>
  </si>
  <si>
    <t>TC-INT-004</t>
  </si>
  <si>
    <t>Resend email — invite</t>
  </si>
  <si>
    <t>Trigger user invitation email</t>
  </si>
  <si>
    <t>Email delivered within 2 min; correct template and UST branding</t>
  </si>
  <si>
    <t>TC-INT-005</t>
  </si>
  <si>
    <t>Resend email — OTP</t>
  </si>
  <si>
    <t>Trigger magic-link / OTP login</t>
  </si>
  <si>
    <t>OTP email received within 1 min; link valid for 10 min; single use only</t>
  </si>
  <si>
    <t>TC-INT-006</t>
  </si>
  <si>
    <t>NextAuth session management</t>
  </si>
  <si>
    <t>Log in; wait 30 min; perform action</t>
  </si>
  <si>
    <t>Session valid; no unexpected logout; session refresh works correctly</t>
  </si>
  <si>
    <t>TC-INT-007</t>
  </si>
  <si>
    <t>Artifact sync — RAID tab</t>
  </si>
  <si>
    <t>Generate RAID register; check Risks and Issues tabs</t>
  </si>
  <si>
    <t>Risks and Issues populated from artifact without manual entry</t>
  </si>
  <si>
    <t>TC-INT-008</t>
  </si>
  <si>
    <t>Export — DOCX</t>
  </si>
  <si>
    <t>Export a WBS artifact as Word document</t>
  </si>
  <si>
    <t>DOCX downloads; opens in Word without errors; content matches artifact</t>
  </si>
  <si>
    <t>TC-INT-009</t>
  </si>
  <si>
    <t>Export — XLSX</t>
  </si>
  <si>
    <t>Export a Resource Plan as Excel</t>
  </si>
  <si>
    <t>XLSX downloads; data in correct columns; no corrupt file</t>
  </si>
  <si>
    <t>TC-INT-010</t>
  </si>
  <si>
    <t>Requirements doc upload</t>
  </si>
  <si>
    <t>Upload a .pdf requirements document to a project</t>
  </si>
  <si>
    <t>Text extracted; industry auto-inferred; extraction visible in project</t>
  </si>
  <si>
    <t>TEST CASES — PERFORMANCE &amp; LOAD</t>
  </si>
  <si>
    <t>TC-PERF-001</t>
  </si>
  <si>
    <t>Page load — dashboard</t>
  </si>
  <si>
    <t>Load /dashboard/projects with 50 projects</t>
  </si>
  <si>
    <t>Time-to-interactive &lt; 3s on 10Mbps; Lighthouse score &gt;= 75</t>
  </si>
  <si>
    <t>TC-PERF-002</t>
  </si>
  <si>
    <t>Concurrent artifact generation</t>
  </si>
  <si>
    <t>10 users simultaneously generate artifacts</t>
  </si>
  <si>
    <t>All requests complete; no 502/503; p95 response time &lt; 90s</t>
  </si>
  <si>
    <t>TC-PERF-003</t>
  </si>
  <si>
    <t>API rate limit handling</t>
  </si>
  <si>
    <t>Trigger 429 from Anthropic (mock or real)</t>
  </si>
  <si>
    <t>App returns user-friendly error; no crash; retry logic logs attempt</t>
  </si>
  <si>
    <t>TC-PERF-004</t>
  </si>
  <si>
    <t>DB connection pool exhaustion</t>
  </si>
  <si>
    <t>Simulate 50 concurrent DB requests</t>
  </si>
  <si>
    <t>Pool queues requests; no unhandled errors; all complete within 30s</t>
  </si>
  <si>
    <t>TC-PERF-005</t>
  </si>
  <si>
    <t>Memory usage</t>
  </si>
  <si>
    <t>Run 30 min sustained load test</t>
  </si>
  <si>
    <t>Memory stays &lt; 80% of instance limit; no OOM restarts</t>
  </si>
  <si>
    <t>TC-PERF-006</t>
  </si>
  <si>
    <t>Auto-scale trigger</t>
  </si>
  <si>
    <t>Sustain CPU &gt; 70% for 6 min via load test</t>
  </si>
  <si>
    <t>Second instance spins up within 5 min; load distributed</t>
  </si>
  <si>
    <t>TC-PERF-007</t>
  </si>
  <si>
    <t>Cold start time</t>
  </si>
  <si>
    <t>Restart App Service; measure time to first 200 response</t>
  </si>
  <si>
    <t>First request served within 30s of restart</t>
  </si>
  <si>
    <t>Low</t>
  </si>
  <si>
    <t>TC-PERF-008</t>
  </si>
  <si>
    <t>Streaming — large project</t>
  </si>
  <si>
    <t>Generate WBS for project with 20 milestones and 500-word description</t>
  </si>
  <si>
    <t>Stream completes within 120s; no timeout; artifact JSON valid</t>
  </si>
  <si>
    <t>TEST CASES — DISASTER RECOVERY &amp; BACKUP</t>
  </si>
  <si>
    <t>TC-DR-001</t>
  </si>
  <si>
    <t>Zone redundancy</t>
  </si>
  <si>
    <t>Verify App Service Plan configured for zone redundancy</t>
  </si>
  <si>
    <t>Zone redundancy enabled in ASP; confirmed in Azure Portal</t>
  </si>
  <si>
    <t>TC-DR-002</t>
  </si>
  <si>
    <t>Neon DB — PITR restore</t>
  </si>
  <si>
    <t>Restore Neon DB to point 2 hours prior</t>
  </si>
  <si>
    <t>Restore completes; data from 2 hours ago present; app functions on restored DB</t>
  </si>
  <si>
    <t>TC-DR-003</t>
  </si>
  <si>
    <t>Key Vault — soft delete</t>
  </si>
  <si>
    <t>Attempt to delete a Key Vault secret</t>
  </si>
  <si>
    <t>Secret moves to soft-deleted state; recoverable within 90-day retention period</t>
  </si>
  <si>
    <t>TC-DR-004</t>
  </si>
  <si>
    <t>App Service — backup</t>
  </si>
  <si>
    <t>Trigger manual backup of App Service</t>
  </si>
  <si>
    <t>Backup completes; downloadable from Storage Account</t>
  </si>
  <si>
    <t>TC-DR-005</t>
  </si>
  <si>
    <t>Failover — secondary region</t>
  </si>
  <si>
    <t>Simulate primary region outage (if multi-region configured)</t>
  </si>
  <si>
    <t>Traffic reroutes to secondary within RTO target (&lt; 4 hours)</t>
  </si>
  <si>
    <t>TC-DR-006</t>
  </si>
  <si>
    <t>RTO verification</t>
  </si>
  <si>
    <t>Restore full environment from backup in test subscription</t>
  </si>
  <si>
    <t>Environment functional within agreed RTO (document target)</t>
  </si>
  <si>
    <t>TC-DR-007</t>
  </si>
  <si>
    <t>RPO verification</t>
  </si>
  <si>
    <t>Confirm maximum data loss window from last backup</t>
  </si>
  <si>
    <t>RPO &lt;= agreed target (1 hour); last backup timestamp verified</t>
  </si>
  <si>
    <t>TEST CASES — MONITORING &amp; ALERTING</t>
  </si>
  <si>
    <t>TC-MON-001</t>
  </si>
  <si>
    <t>Application Insights setup</t>
  </si>
  <si>
    <t>Verify App Insights resource connected to App Service</t>
  </si>
  <si>
    <t>Telemetry visible; requests, dependencies, exceptions tracked</t>
  </si>
  <si>
    <t>TC-MON-002</t>
  </si>
  <si>
    <t>Alert — HTTP 5xx spike</t>
  </si>
  <si>
    <t>Trigger 10 consecutive 500 errors</t>
  </si>
  <si>
    <t>Alert fires within 5 min; notification sent to on-call via email/Teams</t>
  </si>
  <si>
    <t>TC-MON-003</t>
  </si>
  <si>
    <t>Alert — CPU &gt; 80%</t>
  </si>
  <si>
    <t>Sustain high CPU load for 10 min</t>
  </si>
  <si>
    <t>Alert fires; notification sent; alert resolves when CPU drops</t>
  </si>
  <si>
    <t>TC-MON-004</t>
  </si>
  <si>
    <t>Alert — DB connection failure</t>
  </si>
  <si>
    <t>Disconnect DB; observe alerts</t>
  </si>
  <si>
    <t>Alert fires within 5 min; incident ticket auto-created (if ITSM integrated)</t>
  </si>
  <si>
    <t>TC-MON-005</t>
  </si>
  <si>
    <t>Log Analytics workspace</t>
  </si>
  <si>
    <t>Verify App Service diagnostic logs flowing to Log Analytics</t>
  </si>
  <si>
    <t>Query returns App Service logs from last 1 hour</t>
  </si>
  <si>
    <t>TC-MON-006</t>
  </si>
  <si>
    <t>Availability test</t>
  </si>
  <si>
    <t>Configure App Insights availability test on /api/health</t>
  </si>
  <si>
    <t>Test runs every 5 min from 5 locations; alert on 2 consecutive failures</t>
  </si>
  <si>
    <t>TC-MON-007</t>
  </si>
  <si>
    <t>Azure Monitor dashboard</t>
  </si>
  <si>
    <t>Open Azure Monitor dashboard for PM Agent resources</t>
  </si>
  <si>
    <t>Dashboard shows: request rate, error rate, response time, instance count</t>
  </si>
  <si>
    <t>TC-MON-008</t>
  </si>
  <si>
    <t>Cost alert</t>
  </si>
  <si>
    <t>Set budget alert at 80% and 100% of monthly budget</t>
  </si>
  <si>
    <t>Alert emails sent at thresholds; cost visible in Azure Cost Management</t>
  </si>
  <si>
    <t>TEST CASES — UAT — END-TO-END FLOWS</t>
  </si>
  <si>
    <t>TC-UAT-001</t>
  </si>
  <si>
    <t>New user onboarding</t>
  </si>
  <si>
    <t>Register new user; accept invite; log in; view dashboard</t>
  </si>
  <si>
    <t>User created; email received; login succeeds; dashboard loads with empty state</t>
  </si>
  <si>
    <t>TC-UAT-002</t>
  </si>
  <si>
    <t>Create project — full flow</t>
  </si>
  <si>
    <t>Create project with all fields; upload requirements doc; verify industry inferred</t>
  </si>
  <si>
    <t>Project saved; industry auto-populated; requirements doc attached</t>
  </si>
  <si>
    <t>TC-UAT-003</t>
  </si>
  <si>
    <t>Generate full artifact suite</t>
  </si>
  <si>
    <t>Generate all 8 core artifacts for a Healthcare project</t>
  </si>
  <si>
    <t>All artifacts generated; domain-aware content present; no errors</t>
  </si>
  <si>
    <t>TC-UAT-004</t>
  </si>
  <si>
    <t>Review and approve artifact</t>
  </si>
  <si>
    <t>PM reviews WBS; sets status to Approved</t>
  </si>
  <si>
    <t>Approval recorded; version history shows approval; status badge updated</t>
  </si>
  <si>
    <t>TC-UAT-005</t>
  </si>
  <si>
    <t>Export project pack</t>
  </si>
  <si>
    <t>Export all artifacts as DOCX pack</t>
  </si>
  <si>
    <t>ZIP/DOCX downloaded; all artifacts present; formatting correct</t>
  </si>
  <si>
    <t>TC-UAT-006</t>
  </si>
  <si>
    <t>Admin — manage templates</t>
  </si>
  <si>
    <t>Admin creates artifact template with systemAddendum for client</t>
  </si>
  <si>
    <t>Template saved; artifact generated with client addendum injected correctly</t>
  </si>
  <si>
    <t>TC-UAT-007</t>
  </si>
  <si>
    <t>Multi-user collaboration</t>
  </si>
  <si>
    <t>Two users edit different sections of same project simultaneously</t>
  </si>
  <si>
    <t>No data conflicts; both saves succeed; no silent data loss</t>
  </si>
  <si>
    <t>TC-UAT-008</t>
  </si>
  <si>
    <t>Mobile responsiveness</t>
  </si>
  <si>
    <t>Access dashboard on mobile (375px viewport)</t>
  </si>
  <si>
    <t>Dashboard renders correctly; tile grid stacks; no horizontal scroll; buttons tappable</t>
  </si>
  <si>
    <t>TC-UAT-009</t>
  </si>
  <si>
    <t>Session expiry handling</t>
  </si>
  <si>
    <t>Let session expire; attempt an action</t>
  </si>
  <si>
    <t>User redirected to login; action replayed after re-auth (or clear error shown)</t>
  </si>
  <si>
    <t>TC-UAT-010</t>
  </si>
  <si>
    <t>Accessibility — WCAG 2.1 AA</t>
  </si>
  <si>
    <t>Run axe / Lighthouse accessibility audit on dashboard</t>
  </si>
  <si>
    <t>No Critical or Serious violations; score &gt;= 85</t>
  </si>
  <si>
    <t>DEFECT LOG</t>
  </si>
  <si>
    <t>Linked TC</t>
  </si>
  <si>
    <t>Severity</t>
  </si>
  <si>
    <t>Title / Description</t>
  </si>
  <si>
    <t>Steps to Reproduce</t>
  </si>
  <si>
    <t>Expected</t>
  </si>
  <si>
    <t>Actual</t>
  </si>
  <si>
    <t>Raised By</t>
  </si>
  <si>
    <t>Date Raised</t>
  </si>
  <si>
    <t>Resolution Notes</t>
  </si>
  <si>
    <t>Date Closed</t>
  </si>
  <si>
    <t>TEST COMPLETION SIGN-OFF</t>
  </si>
  <si>
    <t>I confirm that the test cases listed in this document have been executed, results recorded, and all Critical/High defects resolved or formally accepted.</t>
  </si>
  <si>
    <t>Name</t>
  </si>
  <si>
    <t>Role</t>
  </si>
  <si>
    <t>Signature</t>
  </si>
  <si>
    <t>Test Lead</t>
  </si>
  <si>
    <t>Dev Lead</t>
  </si>
  <si>
    <t>Project Manager</t>
  </si>
  <si>
    <t>Client Representative</t>
  </si>
  <si>
    <t>UST Delivery Manager</t>
  </si>
  <si>
    <t>OVERALL TEST OUTCOME</t>
  </si>
  <si>
    <t>CONDITIONAL PASS — Go Live with Conditions</t>
  </si>
  <si>
    <t>Conditions / Outstanding Items (list any):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</si>
</sst>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22"/>
      <name val="Arial"/>
    </font>
    <font>
      <color rgb="FFFFFFFF"/>
      <sz val="11"/>
      <name val="Arial"/>
    </font>
    <font>
      <b/>
      <color auto="1"/>
      <sz val="10"/>
      <name val="Arial"/>
    </font>
    <font>
      <color rgb="FF000000"/>
      <sz val="10"/>
      <name val="Arial"/>
    </font>
    <font>
      <b/>
      <color rgb="FF000000"/>
      <sz val="9"/>
      <name val="Arial"/>
    </font>
    <font>
      <color rgb="FF000000"/>
      <sz val="9"/>
      <name val="Arial"/>
    </font>
    <font>
      <b/>
      <color auto="1"/>
      <sz val="14"/>
      <name val="Arial"/>
    </font>
    <font>
      <b/>
      <color auto="1"/>
      <sz val="9"/>
      <name val="Arial"/>
    </font>
    <font>
      <color auto="1"/>
      <sz val="9"/>
      <name val="Arial"/>
    </font>
    <font>
      <i/>
      <color rgb="FF595959"/>
      <sz val="8"/>
      <name val="Arial"/>
    </font>
    <font>
      <b/>
      <color auto="1"/>
      <sz val="13"/>
      <name val="Arial"/>
    </font>
    <font>
      <i/>
      <sz val="10"/>
      <name val="Arial"/>
    </font>
    <font>
      <b/>
      <color auto="1"/>
      <sz val="11"/>
      <name val="Arial"/>
    </font>
    <font>
      <b/>
      <color rgb="FF000000"/>
      <sz val="10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1" fontId="9" fillId="11" borderId="1" xfId="0" applyNumberFormat="1" applyFont="1" applyFill="1" applyBorder="1" applyAlignment="1">
      <alignment horizontal="center" vertical="center" wrapText="1"/>
    </xf>
    <xf numFmtId="9" fontId="9" fillId="10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3" width="50" customWidth="1"/>
    <col min="4" max="4" width="20" customWidth="1"/>
  </cols>
  <sheetData>
    <row r="2" ht="20" customHeight="1" spans="2:4" x14ac:dyDescent="0.25">
      <c r="B2" s="1" t="s">
        <v>0</v>
      </c>
      <c r="C2" s="1"/>
      <c r="D2" s="1"/>
    </row>
    <row r="3" ht="20" customHeight="1" spans="2:4" x14ac:dyDescent="0.25">
      <c r="B3" s="1"/>
      <c r="C3" s="1"/>
      <c r="D3" s="1"/>
    </row>
    <row r="4" ht="20" customHeight="1" spans="2:4" x14ac:dyDescent="0.25">
      <c r="B4" s="1"/>
      <c r="C4" s="1"/>
      <c r="D4" s="1"/>
    </row>
    <row r="5" ht="20" customHeight="1" spans="2:4" x14ac:dyDescent="0.25">
      <c r="B5" s="1"/>
      <c r="C5" s="1"/>
      <c r="D5" s="1"/>
    </row>
    <row r="6" ht="20" customHeight="1" spans="2:4" x14ac:dyDescent="0.25">
      <c r="B6" s="1"/>
      <c r="C6" s="1"/>
      <c r="D6" s="1"/>
    </row>
    <row r="7" ht="20" customHeight="1" spans="2:4" x14ac:dyDescent="0.25">
      <c r="B7" s="1"/>
      <c r="C7" s="1"/>
      <c r="D7" s="1"/>
    </row>
    <row r="8" ht="22" customHeight="1" spans="2:4" x14ac:dyDescent="0.25">
      <c r="B8" s="2" t="s">
        <v>1</v>
      </c>
      <c r="C8" s="2"/>
      <c r="D8" s="2"/>
    </row>
    <row r="9" ht="22" customHeight="1" spans="2:4" x14ac:dyDescent="0.25">
      <c r="B9" s="2"/>
      <c r="C9" s="2"/>
      <c r="D9" s="2"/>
    </row>
    <row r="11" ht="18" customHeight="1" spans="2:3" x14ac:dyDescent="0.25">
      <c r="B11" s="3" t="s">
        <v>2</v>
      </c>
      <c r="C11" s="4" t="s">
        <v>3</v>
      </c>
    </row>
    <row r="12" ht="18" customHeight="1" spans="2:3" x14ac:dyDescent="0.25">
      <c r="B12" s="3" t="s">
        <v>4</v>
      </c>
      <c r="C12" s="4" t="s">
        <v>5</v>
      </c>
    </row>
    <row r="13" ht="18" customHeight="1" spans="2:3" x14ac:dyDescent="0.25">
      <c r="B13" s="3" t="s">
        <v>6</v>
      </c>
      <c r="C13" s="4" t="s">
        <v>7</v>
      </c>
    </row>
    <row r="14" ht="18" customHeight="1" spans="2:3" x14ac:dyDescent="0.25">
      <c r="B14" s="3" t="s">
        <v>8</v>
      </c>
      <c r="C14" s="4" t="s">
        <v>9</v>
      </c>
    </row>
    <row r="15" ht="18" customHeight="1" spans="2:3" x14ac:dyDescent="0.25">
      <c r="B15" s="3" t="s">
        <v>10</v>
      </c>
      <c r="C15" s="4" t="s">
        <v>11</v>
      </c>
    </row>
    <row r="16" ht="18" customHeight="1" spans="2:3" x14ac:dyDescent="0.25">
      <c r="B16" s="3" t="s">
        <v>12</v>
      </c>
      <c r="C16" s="4" t="s">
        <v>13</v>
      </c>
    </row>
    <row r="17" ht="18" customHeight="1" spans="2:3" x14ac:dyDescent="0.25">
      <c r="B17" s="3" t="s">
        <v>14</v>
      </c>
      <c r="C17" s="4" t="s">
        <v>13</v>
      </c>
    </row>
    <row r="18" ht="18" customHeight="1" spans="2:3" x14ac:dyDescent="0.25">
      <c r="B18" s="3" t="s">
        <v>15</v>
      </c>
      <c r="C18" s="4" t="s">
        <v>16</v>
      </c>
    </row>
    <row r="19" ht="18" customHeight="1" spans="2:3" x14ac:dyDescent="0.25">
      <c r="B19" s="3" t="s">
        <v>17</v>
      </c>
      <c r="C19" s="4" t="s">
        <v>18</v>
      </c>
    </row>
    <row r="20" ht="18" customHeight="1" spans="2:3" x14ac:dyDescent="0.25">
      <c r="B20" s="3" t="s">
        <v>19</v>
      </c>
      <c r="C20" s="4" t="s">
        <v>20</v>
      </c>
    </row>
    <row r="23" ht="18" customHeight="1" spans="2:4" x14ac:dyDescent="0.25">
      <c r="B23" s="5" t="s">
        <v>21</v>
      </c>
      <c r="C23" s="5"/>
      <c r="D23" s="5"/>
    </row>
    <row r="24" ht="16" customHeight="1" spans="2:3" x14ac:dyDescent="0.25">
      <c r="B24" s="6" t="s">
        <v>22</v>
      </c>
      <c r="C24" s="7" t="s">
        <v>23</v>
      </c>
    </row>
    <row r="25" ht="16" customHeight="1" spans="2:3" x14ac:dyDescent="0.25">
      <c r="B25" s="8" t="s">
        <v>24</v>
      </c>
      <c r="C25" s="9" t="s">
        <v>25</v>
      </c>
    </row>
    <row r="26" ht="16" customHeight="1" spans="2:3" x14ac:dyDescent="0.25">
      <c r="B26" s="10" t="s">
        <v>26</v>
      </c>
      <c r="C26" s="11" t="s">
        <v>27</v>
      </c>
    </row>
    <row r="27" ht="16" customHeight="1" spans="2:3" x14ac:dyDescent="0.25">
      <c r="B27" s="12" t="s">
        <v>28</v>
      </c>
      <c r="C27" s="13" t="s">
        <v>29</v>
      </c>
    </row>
    <row r="28" ht="16" customHeight="1" spans="2:3" x14ac:dyDescent="0.25">
      <c r="B28" s="14" t="s">
        <v>30</v>
      </c>
      <c r="C28" s="15" t="s">
        <v>31</v>
      </c>
    </row>
    <row r="29" ht="16" customHeight="1" spans="2:3" x14ac:dyDescent="0.25">
      <c r="B29" s="16" t="s">
        <v>32</v>
      </c>
      <c r="C29" s="17" t="s">
        <v>33</v>
      </c>
    </row>
  </sheetData>
  <mergeCells count="3">
    <mergeCell ref="B2:D7"/>
    <mergeCell ref="B8:D9"/>
    <mergeCell ref="B23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8" customWidth="1"/>
    <col min="3" max="3" width="12" customWidth="1"/>
    <col min="4" max="7" width="10" customWidth="1"/>
    <col min="8" max="8" width="12" customWidth="1"/>
    <col min="9" max="9" width="18" customWidth="1"/>
  </cols>
  <sheetData>
    <row r="1" ht="8" customHeight="1" x14ac:dyDescent="0.25"/>
    <row r="2" ht="22" customHeight="1" spans="2:9" x14ac:dyDescent="0.25">
      <c r="B2" s="18" t="s">
        <v>34</v>
      </c>
      <c r="C2" s="18"/>
      <c r="D2" s="18"/>
      <c r="E2" s="18"/>
      <c r="F2" s="18"/>
      <c r="G2" s="18"/>
      <c r="H2" s="18"/>
      <c r="I2" s="18"/>
    </row>
    <row r="3" ht="22" customHeight="1" spans="2:9" x14ac:dyDescent="0.25">
      <c r="B3" s="18"/>
      <c r="C3" s="18"/>
      <c r="D3" s="18"/>
      <c r="E3" s="18"/>
      <c r="F3" s="18"/>
      <c r="G3" s="18"/>
      <c r="H3" s="18"/>
      <c r="I3" s="18"/>
    </row>
    <row r="5" ht="18" customHeight="1" spans="2:9" x14ac:dyDescent="0.25">
      <c r="B5" s="19" t="s">
        <v>35</v>
      </c>
      <c r="C5" s="19" t="s">
        <v>36</v>
      </c>
      <c r="D5" s="19" t="s">
        <v>37</v>
      </c>
      <c r="E5" s="19" t="s">
        <v>38</v>
      </c>
      <c r="F5" s="19" t="s">
        <v>39</v>
      </c>
      <c r="G5" s="19" t="s">
        <v>40</v>
      </c>
      <c r="H5" s="19" t="s">
        <v>41</v>
      </c>
      <c r="I5" s="19" t="s">
        <v>42</v>
      </c>
    </row>
    <row r="6" ht="17" customHeight="1" spans="2:9" x14ac:dyDescent="0.25">
      <c r="B6" s="20" t="s">
        <v>43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2">
        <f>IFERROR(E6/C6,0)</f>
      </c>
      <c r="I6" s="12">
        <f>IFERROR(IF(H6=1,"COMPLETE",IF(H6&gt;=0.8,"ON TRACK","AT RISK")),"NOT STARTED")</f>
      </c>
    </row>
    <row r="7" ht="17" customHeight="1" spans="2:9" x14ac:dyDescent="0.25">
      <c r="B7" s="20" t="s">
        <v>44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2">
        <f>IFERROR(E7/C7,0)</f>
      </c>
      <c r="I7" s="12">
        <f>IFERROR(IF(H7=1,"COMPLETE",IF(H7&gt;=0.8,"ON TRACK","AT RISK")),"NOT STARTED")</f>
      </c>
    </row>
    <row r="8" ht="17" customHeight="1" spans="2:9" x14ac:dyDescent="0.25">
      <c r="B8" s="20" t="s">
        <v>45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2">
        <f>IFERROR(E8/C8,0)</f>
      </c>
      <c r="I8" s="12">
        <f>IFERROR(IF(H8=1,"COMPLETE",IF(H8&gt;=0.8,"ON TRACK","AT RISK")),"NOT STARTED")</f>
      </c>
    </row>
    <row r="9" ht="17" customHeight="1" spans="2:9" x14ac:dyDescent="0.25">
      <c r="B9" s="20" t="s">
        <v>46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2">
        <f>IFERROR(E9/C9,0)</f>
      </c>
      <c r="I9" s="12">
        <f>IFERROR(IF(H9=1,"COMPLETE",IF(H9&gt;=0.8,"ON TRACK","AT RISK")),"NOT STARTED")</f>
      </c>
    </row>
    <row r="10" ht="17" customHeight="1" spans="2:9" x14ac:dyDescent="0.25">
      <c r="B10" s="20" t="s">
        <v>47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2">
        <f>IFERROR(E10/C10,0)</f>
      </c>
      <c r="I10" s="12">
        <f>IFERROR(IF(H10=1,"COMPLETE",IF(H10&gt;=0.8,"ON TRACK","AT RISK")),"NOT STARTED")</f>
      </c>
    </row>
    <row r="11" ht="17" customHeight="1" spans="2:9" x14ac:dyDescent="0.25">
      <c r="B11" s="20" t="s">
        <v>48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2">
        <f>IFERROR(E11/C11,0)</f>
      </c>
      <c r="I11" s="12">
        <f>IFERROR(IF(H11=1,"COMPLETE",IF(H11&gt;=0.8,"ON TRACK","AT RISK")),"NOT STARTED")</f>
      </c>
    </row>
    <row r="12" ht="17" customHeight="1" spans="2:9" x14ac:dyDescent="0.25">
      <c r="B12" s="20" t="s">
        <v>49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2">
        <f>IFERROR(E12/C12,0)</f>
      </c>
      <c r="I12" s="12">
        <f>IFERROR(IF(H12=1,"COMPLETE",IF(H12&gt;=0.8,"ON TRACK","AT RISK")),"NOT STARTED")</f>
      </c>
    </row>
    <row r="13" ht="17" customHeight="1" spans="2:9" x14ac:dyDescent="0.25">
      <c r="B13" s="20" t="s">
        <v>50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2">
        <f>IFERROR(E13/C13,0)</f>
      </c>
      <c r="I13" s="12">
        <f>IFERROR(IF(H13=1,"COMPLETE",IF(H13&gt;=0.8,"ON TRACK","AT RISK")),"NOT STARTED")</f>
      </c>
    </row>
    <row r="14" ht="17" customHeight="1" spans="2:9" x14ac:dyDescent="0.25">
      <c r="B14" s="20" t="s">
        <v>51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2">
        <f>IFERROR(E14/C14,0)</f>
      </c>
      <c r="I14" s="12">
        <f>IFERROR(IF(H14=1,"COMPLETE",IF(H14&gt;=0.8,"ON TRACK","AT RISK")),"NOT STARTED")</f>
      </c>
    </row>
    <row r="15" ht="17" customHeight="1" spans="2:9" x14ac:dyDescent="0.25">
      <c r="B15" s="20" t="s">
        <v>52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2">
        <f>IFERROR(E15/C15,0)</f>
      </c>
      <c r="I15" s="12">
        <f>IFERROR(IF(H15=1,"COMPLETE",IF(H15&gt;=0.8,"ON TRACK","AT RISK")),"NOT STARTED")</f>
      </c>
    </row>
    <row r="16" ht="18" customHeight="1" spans="2:8" x14ac:dyDescent="0.25">
      <c r="B16" s="23" t="s">
        <v>53</v>
      </c>
      <c r="C16" s="24">
        <f>SUM(C6:C15)</f>
      </c>
      <c r="D16" s="23">
        <f>SUM(D6:D15)</f>
      </c>
      <c r="E16" s="23">
        <f>SUM(E6:E15)</f>
      </c>
      <c r="F16" s="23">
        <f>SUM(F6:F15)</f>
      </c>
      <c r="G16" s="23">
        <f>SUM(G6:G15)</f>
      </c>
      <c r="H16" s="25">
        <f>IFERROR(E16/C16,0)</f>
      </c>
    </row>
    <row r="18" ht="24" customHeight="1" spans="2:9" x14ac:dyDescent="0.25">
      <c r="B18" s="26" t="s">
        <v>54</v>
      </c>
      <c r="C18" s="26"/>
      <c r="D18" s="26"/>
      <c r="E18" s="26"/>
      <c r="F18" s="26"/>
      <c r="G18" s="26"/>
      <c r="H18" s="26"/>
      <c r="I18" s="26"/>
    </row>
  </sheetData>
  <mergeCells count="2">
    <mergeCell ref="B2:I3"/>
    <mergeCell ref="B18:I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30" customWidth="1"/>
    <col min="4" max="4" width="44" customWidth="1"/>
    <col min="5" max="5" width="32" customWidth="1"/>
    <col min="6" max="6" width="10" customWidth="1"/>
    <col min="7" max="7" width="13" customWidth="1"/>
    <col min="8" max="8" width="14" customWidth="1"/>
    <col min="9" max="9" width="12" customWidth="1"/>
    <col min="10" max="10" width="22" customWidth="1"/>
    <col min="11" max="11" width="30" customWidth="1"/>
    <col min="12" max="12" width="12" customWidth="1"/>
  </cols>
  <sheetData>
    <row r="1" ht="8" customHeight="1" x14ac:dyDescent="0.25"/>
    <row r="2" ht="20" customHeight="1" spans="2:13" x14ac:dyDescent="0.25">
      <c r="B2" s="27" t="s">
        <v>55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ht="20" customHeight="1" spans="2:13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ht="30" customHeight="1" spans="2:13" x14ac:dyDescent="0.25">
      <c r="B5" s="19" t="s">
        <v>56</v>
      </c>
      <c r="C5" s="19" t="s">
        <v>57</v>
      </c>
      <c r="D5" s="19" t="s">
        <v>58</v>
      </c>
      <c r="E5" s="19" t="s">
        <v>59</v>
      </c>
      <c r="F5" s="19" t="s">
        <v>60</v>
      </c>
      <c r="G5" s="19" t="s">
        <v>61</v>
      </c>
      <c r="H5" s="19" t="s">
        <v>62</v>
      </c>
      <c r="I5" s="19" t="s">
        <v>42</v>
      </c>
      <c r="J5" s="19" t="s">
        <v>63</v>
      </c>
      <c r="K5" s="19" t="s">
        <v>64</v>
      </c>
      <c r="L5" s="19" t="s">
        <v>65</v>
      </c>
      <c r="M5" s="19" t="s">
        <v>66</v>
      </c>
    </row>
    <row r="6" ht="40" customHeight="1" spans="2:12" x14ac:dyDescent="0.25">
      <c r="B6" s="28" t="s">
        <v>67</v>
      </c>
      <c r="C6" s="29" t="s">
        <v>68</v>
      </c>
      <c r="D6" s="30" t="s">
        <v>69</v>
      </c>
      <c r="E6" s="30" t="s">
        <v>70</v>
      </c>
      <c r="F6" s="31" t="s">
        <v>71</v>
      </c>
      <c r="G6" s="32" t="s">
        <v>13</v>
      </c>
      <c r="H6" s="32" t="s">
        <v>13</v>
      </c>
      <c r="I6" s="33" t="s">
        <v>28</v>
      </c>
      <c r="J6" s="30" t="s">
        <v>13</v>
      </c>
      <c r="K6" s="30" t="s">
        <v>13</v>
      </c>
      <c r="L6" s="32" t="s">
        <v>13</v>
      </c>
    </row>
    <row r="7" ht="40" customHeight="1" spans="2:12" x14ac:dyDescent="0.25">
      <c r="B7" s="33" t="s">
        <v>72</v>
      </c>
      <c r="C7" s="20" t="s">
        <v>73</v>
      </c>
      <c r="D7" s="34" t="s">
        <v>74</v>
      </c>
      <c r="E7" s="34" t="s">
        <v>75</v>
      </c>
      <c r="F7" s="35" t="s">
        <v>76</v>
      </c>
      <c r="G7" s="32" t="s">
        <v>13</v>
      </c>
      <c r="H7" s="32" t="s">
        <v>13</v>
      </c>
      <c r="I7" s="33" t="s">
        <v>28</v>
      </c>
      <c r="J7" s="34" t="s">
        <v>13</v>
      </c>
      <c r="K7" s="34" t="s">
        <v>13</v>
      </c>
      <c r="L7" s="32" t="s">
        <v>13</v>
      </c>
    </row>
    <row r="8" ht="40" customHeight="1" spans="2:12" x14ac:dyDescent="0.25">
      <c r="B8" s="28" t="s">
        <v>77</v>
      </c>
      <c r="C8" s="29" t="s">
        <v>78</v>
      </c>
      <c r="D8" s="30" t="s">
        <v>79</v>
      </c>
      <c r="E8" s="30" t="s">
        <v>80</v>
      </c>
      <c r="F8" s="31" t="s">
        <v>71</v>
      </c>
      <c r="G8" s="32" t="s">
        <v>13</v>
      </c>
      <c r="H8" s="32" t="s">
        <v>13</v>
      </c>
      <c r="I8" s="33" t="s">
        <v>28</v>
      </c>
      <c r="J8" s="30" t="s">
        <v>13</v>
      </c>
      <c r="K8" s="30" t="s">
        <v>13</v>
      </c>
      <c r="L8" s="32" t="s">
        <v>13</v>
      </c>
    </row>
    <row r="9" ht="40" customHeight="1" spans="2:12" x14ac:dyDescent="0.25">
      <c r="B9" s="33" t="s">
        <v>81</v>
      </c>
      <c r="C9" s="20" t="s">
        <v>82</v>
      </c>
      <c r="D9" s="34" t="s">
        <v>83</v>
      </c>
      <c r="E9" s="34" t="s">
        <v>84</v>
      </c>
      <c r="F9" s="31" t="s">
        <v>71</v>
      </c>
      <c r="G9" s="32" t="s">
        <v>13</v>
      </c>
      <c r="H9" s="32" t="s">
        <v>13</v>
      </c>
      <c r="I9" s="33" t="s">
        <v>28</v>
      </c>
      <c r="J9" s="34" t="s">
        <v>13</v>
      </c>
      <c r="K9" s="34" t="s">
        <v>13</v>
      </c>
      <c r="L9" s="32" t="s">
        <v>13</v>
      </c>
    </row>
    <row r="10" ht="40" customHeight="1" spans="2:12" x14ac:dyDescent="0.25">
      <c r="B10" s="28" t="s">
        <v>85</v>
      </c>
      <c r="C10" s="29" t="s">
        <v>86</v>
      </c>
      <c r="D10" s="30" t="s">
        <v>87</v>
      </c>
      <c r="E10" s="30" t="s">
        <v>88</v>
      </c>
      <c r="F10" s="35" t="s">
        <v>76</v>
      </c>
      <c r="G10" s="32" t="s">
        <v>13</v>
      </c>
      <c r="H10" s="32" t="s">
        <v>13</v>
      </c>
      <c r="I10" s="33" t="s">
        <v>28</v>
      </c>
      <c r="J10" s="30" t="s">
        <v>13</v>
      </c>
      <c r="K10" s="30" t="s">
        <v>13</v>
      </c>
      <c r="L10" s="32" t="s">
        <v>13</v>
      </c>
    </row>
    <row r="11" ht="40" customHeight="1" spans="2:12" x14ac:dyDescent="0.25">
      <c r="B11" s="33" t="s">
        <v>89</v>
      </c>
      <c r="C11" s="20" t="s">
        <v>90</v>
      </c>
      <c r="D11" s="34" t="s">
        <v>91</v>
      </c>
      <c r="E11" s="34" t="s">
        <v>92</v>
      </c>
      <c r="F11" s="31" t="s">
        <v>71</v>
      </c>
      <c r="G11" s="32" t="s">
        <v>13</v>
      </c>
      <c r="H11" s="32" t="s">
        <v>13</v>
      </c>
      <c r="I11" s="33" t="s">
        <v>28</v>
      </c>
      <c r="J11" s="34" t="s">
        <v>13</v>
      </c>
      <c r="K11" s="34" t="s">
        <v>13</v>
      </c>
      <c r="L11" s="32" t="s">
        <v>13</v>
      </c>
    </row>
    <row r="12" ht="40" customHeight="1" spans="2:12" x14ac:dyDescent="0.25">
      <c r="B12" s="28" t="s">
        <v>93</v>
      </c>
      <c r="C12" s="29" t="s">
        <v>94</v>
      </c>
      <c r="D12" s="30" t="s">
        <v>95</v>
      </c>
      <c r="E12" s="30" t="s">
        <v>96</v>
      </c>
      <c r="F12" s="31" t="s">
        <v>71</v>
      </c>
      <c r="G12" s="32" t="s">
        <v>13</v>
      </c>
      <c r="H12" s="32" t="s">
        <v>13</v>
      </c>
      <c r="I12" s="33" t="s">
        <v>28</v>
      </c>
      <c r="J12" s="30" t="s">
        <v>13</v>
      </c>
      <c r="K12" s="30" t="s">
        <v>13</v>
      </c>
      <c r="L12" s="32" t="s">
        <v>13</v>
      </c>
    </row>
    <row r="13" ht="40" customHeight="1" spans="2:12" x14ac:dyDescent="0.25">
      <c r="B13" s="33" t="s">
        <v>97</v>
      </c>
      <c r="C13" s="20" t="s">
        <v>98</v>
      </c>
      <c r="D13" s="34" t="s">
        <v>99</v>
      </c>
      <c r="E13" s="34" t="s">
        <v>100</v>
      </c>
      <c r="F13" s="36" t="s">
        <v>101</v>
      </c>
      <c r="G13" s="32" t="s">
        <v>13</v>
      </c>
      <c r="H13" s="32" t="s">
        <v>13</v>
      </c>
      <c r="I13" s="33" t="s">
        <v>28</v>
      </c>
      <c r="J13" s="34" t="s">
        <v>13</v>
      </c>
      <c r="K13" s="34" t="s">
        <v>13</v>
      </c>
      <c r="L13" s="32" t="s">
        <v>13</v>
      </c>
    </row>
    <row r="14" ht="40" customHeight="1" spans="2:12" x14ac:dyDescent="0.25">
      <c r="B14" s="28" t="s">
        <v>102</v>
      </c>
      <c r="C14" s="29" t="s">
        <v>103</v>
      </c>
      <c r="D14" s="30" t="s">
        <v>104</v>
      </c>
      <c r="E14" s="30" t="s">
        <v>105</v>
      </c>
      <c r="F14" s="36" t="s">
        <v>101</v>
      </c>
      <c r="G14" s="32" t="s">
        <v>13</v>
      </c>
      <c r="H14" s="32" t="s">
        <v>13</v>
      </c>
      <c r="I14" s="33" t="s">
        <v>28</v>
      </c>
      <c r="J14" s="30" t="s">
        <v>13</v>
      </c>
      <c r="K14" s="30" t="s">
        <v>13</v>
      </c>
      <c r="L14" s="32" t="s">
        <v>13</v>
      </c>
    </row>
    <row r="15" ht="40" customHeight="1" spans="2:12" x14ac:dyDescent="0.25">
      <c r="B15" s="33" t="s">
        <v>106</v>
      </c>
      <c r="C15" s="20" t="s">
        <v>107</v>
      </c>
      <c r="D15" s="34" t="s">
        <v>108</v>
      </c>
      <c r="E15" s="34" t="s">
        <v>109</v>
      </c>
      <c r="F15" s="36" t="s">
        <v>101</v>
      </c>
      <c r="G15" s="32" t="s">
        <v>13</v>
      </c>
      <c r="H15" s="32" t="s">
        <v>13</v>
      </c>
      <c r="I15" s="33" t="s">
        <v>28</v>
      </c>
      <c r="J15" s="34" t="s">
        <v>13</v>
      </c>
      <c r="K15" s="34" t="s">
        <v>13</v>
      </c>
      <c r="L15" s="32" t="s">
        <v>13</v>
      </c>
    </row>
    <row r="17" ht="20" customHeight="1" spans="2:13" x14ac:dyDescent="0.25">
      <c r="B17" s="26" t="s">
        <v>110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</sheetData>
  <mergeCells count="2">
    <mergeCell ref="B2:M3"/>
    <mergeCell ref="B17:M17"/>
  </mergeCells>
  <dataValidations count="2">
    <dataValidation type="list" allowBlank="1" sqref="G6:G15">
      <formula1>"Critical,High,Medium,Low"</formula1>
    </dataValidation>
    <dataValidation type="list" allowBlank="1" sqref="J6:J15">
      <formula1>"PASS,FAIL,BLOCKED,NOT RUN,IN PROGRESS,N/A"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30" customWidth="1"/>
    <col min="4" max="4" width="44" customWidth="1"/>
    <col min="5" max="5" width="32" customWidth="1"/>
    <col min="6" max="6" width="10" customWidth="1"/>
    <col min="7" max="7" width="13" customWidth="1"/>
    <col min="8" max="8" width="14" customWidth="1"/>
    <col min="9" max="9" width="12" customWidth="1"/>
    <col min="10" max="10" width="22" customWidth="1"/>
    <col min="11" max="11" width="30" customWidth="1"/>
    <col min="12" max="12" width="12" customWidth="1"/>
  </cols>
  <sheetData>
    <row r="1" ht="8" customHeight="1" x14ac:dyDescent="0.25"/>
    <row r="2" ht="20" customHeight="1" spans="2:13" x14ac:dyDescent="0.25">
      <c r="B2" s="27" t="s">
        <v>111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ht="20" customHeight="1" spans="2:13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ht="30" customHeight="1" spans="2:13" x14ac:dyDescent="0.25">
      <c r="B5" s="19" t="s">
        <v>56</v>
      </c>
      <c r="C5" s="19" t="s">
        <v>57</v>
      </c>
      <c r="D5" s="19" t="s">
        <v>58</v>
      </c>
      <c r="E5" s="19" t="s">
        <v>59</v>
      </c>
      <c r="F5" s="19" t="s">
        <v>60</v>
      </c>
      <c r="G5" s="19" t="s">
        <v>61</v>
      </c>
      <c r="H5" s="19" t="s">
        <v>62</v>
      </c>
      <c r="I5" s="19" t="s">
        <v>42</v>
      </c>
      <c r="J5" s="19" t="s">
        <v>63</v>
      </c>
      <c r="K5" s="19" t="s">
        <v>64</v>
      </c>
      <c r="L5" s="19" t="s">
        <v>65</v>
      </c>
      <c r="M5" s="19" t="s">
        <v>66</v>
      </c>
    </row>
    <row r="6" ht="40" customHeight="1" spans="2:12" x14ac:dyDescent="0.25">
      <c r="B6" s="28" t="s">
        <v>112</v>
      </c>
      <c r="C6" s="29" t="s">
        <v>113</v>
      </c>
      <c r="D6" s="30" t="s">
        <v>114</v>
      </c>
      <c r="E6" s="30" t="s">
        <v>115</v>
      </c>
      <c r="F6" s="31" t="s">
        <v>71</v>
      </c>
      <c r="G6" s="32" t="s">
        <v>13</v>
      </c>
      <c r="H6" s="32" t="s">
        <v>13</v>
      </c>
      <c r="I6" s="33" t="s">
        <v>28</v>
      </c>
      <c r="J6" s="30" t="s">
        <v>13</v>
      </c>
      <c r="K6" s="30" t="s">
        <v>13</v>
      </c>
      <c r="L6" s="32" t="s">
        <v>13</v>
      </c>
    </row>
    <row r="7" ht="40" customHeight="1" spans="2:12" x14ac:dyDescent="0.25">
      <c r="B7" s="33" t="s">
        <v>116</v>
      </c>
      <c r="C7" s="20" t="s">
        <v>117</v>
      </c>
      <c r="D7" s="34" t="s">
        <v>118</v>
      </c>
      <c r="E7" s="34" t="s">
        <v>119</v>
      </c>
      <c r="F7" s="31" t="s">
        <v>71</v>
      </c>
      <c r="G7" s="32" t="s">
        <v>13</v>
      </c>
      <c r="H7" s="32" t="s">
        <v>13</v>
      </c>
      <c r="I7" s="33" t="s">
        <v>28</v>
      </c>
      <c r="J7" s="34" t="s">
        <v>13</v>
      </c>
      <c r="K7" s="34" t="s">
        <v>13</v>
      </c>
      <c r="L7" s="32" t="s">
        <v>13</v>
      </c>
    </row>
    <row r="8" ht="40" customHeight="1" spans="2:12" x14ac:dyDescent="0.25">
      <c r="B8" s="28" t="s">
        <v>120</v>
      </c>
      <c r="C8" s="29" t="s">
        <v>121</v>
      </c>
      <c r="D8" s="30" t="s">
        <v>122</v>
      </c>
      <c r="E8" s="30" t="s">
        <v>123</v>
      </c>
      <c r="F8" s="31" t="s">
        <v>71</v>
      </c>
      <c r="G8" s="32" t="s">
        <v>13</v>
      </c>
      <c r="H8" s="32" t="s">
        <v>13</v>
      </c>
      <c r="I8" s="33" t="s">
        <v>28</v>
      </c>
      <c r="J8" s="30" t="s">
        <v>13</v>
      </c>
      <c r="K8" s="30" t="s">
        <v>13</v>
      </c>
      <c r="L8" s="32" t="s">
        <v>13</v>
      </c>
    </row>
    <row r="9" ht="40" customHeight="1" spans="2:12" x14ac:dyDescent="0.25">
      <c r="B9" s="33" t="s">
        <v>124</v>
      </c>
      <c r="C9" s="20" t="s">
        <v>125</v>
      </c>
      <c r="D9" s="34" t="s">
        <v>126</v>
      </c>
      <c r="E9" s="34" t="s">
        <v>127</v>
      </c>
      <c r="F9" s="35" t="s">
        <v>76</v>
      </c>
      <c r="G9" s="32" t="s">
        <v>13</v>
      </c>
      <c r="H9" s="32" t="s">
        <v>13</v>
      </c>
      <c r="I9" s="33" t="s">
        <v>28</v>
      </c>
      <c r="J9" s="34" t="s">
        <v>13</v>
      </c>
      <c r="K9" s="34" t="s">
        <v>13</v>
      </c>
      <c r="L9" s="32" t="s">
        <v>13</v>
      </c>
    </row>
    <row r="10" ht="40" customHeight="1" spans="2:12" x14ac:dyDescent="0.25">
      <c r="B10" s="28" t="s">
        <v>128</v>
      </c>
      <c r="C10" s="29" t="s">
        <v>129</v>
      </c>
      <c r="D10" s="30" t="s">
        <v>130</v>
      </c>
      <c r="E10" s="30" t="s">
        <v>131</v>
      </c>
      <c r="F10" s="35" t="s">
        <v>76</v>
      </c>
      <c r="G10" s="32" t="s">
        <v>13</v>
      </c>
      <c r="H10" s="32" t="s">
        <v>13</v>
      </c>
      <c r="I10" s="33" t="s">
        <v>28</v>
      </c>
      <c r="J10" s="30" t="s">
        <v>13</v>
      </c>
      <c r="K10" s="30" t="s">
        <v>13</v>
      </c>
      <c r="L10" s="32" t="s">
        <v>13</v>
      </c>
    </row>
    <row r="11" ht="40" customHeight="1" spans="2:12" x14ac:dyDescent="0.25">
      <c r="B11" s="33" t="s">
        <v>132</v>
      </c>
      <c r="C11" s="20" t="s">
        <v>133</v>
      </c>
      <c r="D11" s="34" t="s">
        <v>134</v>
      </c>
      <c r="E11" s="34" t="s">
        <v>135</v>
      </c>
      <c r="F11" s="35" t="s">
        <v>76</v>
      </c>
      <c r="G11" s="32" t="s">
        <v>13</v>
      </c>
      <c r="H11" s="32" t="s">
        <v>13</v>
      </c>
      <c r="I11" s="33" t="s">
        <v>28</v>
      </c>
      <c r="J11" s="34" t="s">
        <v>13</v>
      </c>
      <c r="K11" s="34" t="s">
        <v>13</v>
      </c>
      <c r="L11" s="32" t="s">
        <v>13</v>
      </c>
    </row>
    <row r="12" ht="40" customHeight="1" spans="2:12" x14ac:dyDescent="0.25">
      <c r="B12" s="28" t="s">
        <v>136</v>
      </c>
      <c r="C12" s="29" t="s">
        <v>137</v>
      </c>
      <c r="D12" s="30" t="s">
        <v>138</v>
      </c>
      <c r="E12" s="30" t="s">
        <v>139</v>
      </c>
      <c r="F12" s="36" t="s">
        <v>101</v>
      </c>
      <c r="G12" s="32" t="s">
        <v>13</v>
      </c>
      <c r="H12" s="32" t="s">
        <v>13</v>
      </c>
      <c r="I12" s="33" t="s">
        <v>28</v>
      </c>
      <c r="J12" s="30" t="s">
        <v>13</v>
      </c>
      <c r="K12" s="30" t="s">
        <v>13</v>
      </c>
      <c r="L12" s="32" t="s">
        <v>13</v>
      </c>
    </row>
    <row r="13" ht="40" customHeight="1" spans="2:12" x14ac:dyDescent="0.25">
      <c r="B13" s="33" t="s">
        <v>140</v>
      </c>
      <c r="C13" s="20" t="s">
        <v>141</v>
      </c>
      <c r="D13" s="34" t="s">
        <v>142</v>
      </c>
      <c r="E13" s="34" t="s">
        <v>143</v>
      </c>
      <c r="F13" s="35" t="s">
        <v>76</v>
      </c>
      <c r="G13" s="32" t="s">
        <v>13</v>
      </c>
      <c r="H13" s="32" t="s">
        <v>13</v>
      </c>
      <c r="I13" s="33" t="s">
        <v>28</v>
      </c>
      <c r="J13" s="34" t="s">
        <v>13</v>
      </c>
      <c r="K13" s="34" t="s">
        <v>13</v>
      </c>
      <c r="L13" s="32" t="s">
        <v>13</v>
      </c>
    </row>
    <row r="14" ht="40" customHeight="1" spans="2:12" x14ac:dyDescent="0.25">
      <c r="B14" s="28" t="s">
        <v>144</v>
      </c>
      <c r="C14" s="29" t="s">
        <v>145</v>
      </c>
      <c r="D14" s="30" t="s">
        <v>146</v>
      </c>
      <c r="E14" s="30" t="s">
        <v>147</v>
      </c>
      <c r="F14" s="35" t="s">
        <v>76</v>
      </c>
      <c r="G14" s="32" t="s">
        <v>13</v>
      </c>
      <c r="H14" s="32" t="s">
        <v>13</v>
      </c>
      <c r="I14" s="33" t="s">
        <v>28</v>
      </c>
      <c r="J14" s="30" t="s">
        <v>13</v>
      </c>
      <c r="K14" s="30" t="s">
        <v>13</v>
      </c>
      <c r="L14" s="32" t="s">
        <v>13</v>
      </c>
    </row>
    <row r="15" ht="40" customHeight="1" spans="2:12" x14ac:dyDescent="0.25">
      <c r="B15" s="33" t="s">
        <v>148</v>
      </c>
      <c r="C15" s="20" t="s">
        <v>149</v>
      </c>
      <c r="D15" s="34" t="s">
        <v>150</v>
      </c>
      <c r="E15" s="34" t="s">
        <v>151</v>
      </c>
      <c r="F15" s="31" t="s">
        <v>71</v>
      </c>
      <c r="G15" s="32" t="s">
        <v>13</v>
      </c>
      <c r="H15" s="32" t="s">
        <v>13</v>
      </c>
      <c r="I15" s="33" t="s">
        <v>28</v>
      </c>
      <c r="J15" s="34" t="s">
        <v>13</v>
      </c>
      <c r="K15" s="34" t="s">
        <v>13</v>
      </c>
      <c r="L15" s="32" t="s">
        <v>13</v>
      </c>
    </row>
    <row r="17" ht="20" customHeight="1" spans="2:13" x14ac:dyDescent="0.25">
      <c r="B17" s="26" t="s">
        <v>110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</sheetData>
  <mergeCells count="2">
    <mergeCell ref="B2:M3"/>
    <mergeCell ref="B17:M17"/>
  </mergeCells>
  <dataValidations count="2">
    <dataValidation type="list" allowBlank="1" sqref="G6:G15">
      <formula1>"Critical,High,Medium,Low"</formula1>
    </dataValidation>
    <dataValidation type="list" allowBlank="1" sqref="J6:J15">
      <formula1>"PASS,FAIL,BLOCKED,NOT RUN,IN PROGRESS,N/A"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9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30" customWidth="1"/>
    <col min="4" max="4" width="44" customWidth="1"/>
    <col min="5" max="5" width="32" customWidth="1"/>
    <col min="6" max="6" width="10" customWidth="1"/>
    <col min="7" max="7" width="13" customWidth="1"/>
    <col min="8" max="8" width="14" customWidth="1"/>
    <col min="9" max="9" width="12" customWidth="1"/>
    <col min="10" max="10" width="22" customWidth="1"/>
    <col min="11" max="11" width="30" customWidth="1"/>
    <col min="12" max="12" width="12" customWidth="1"/>
  </cols>
  <sheetData>
    <row r="1" ht="8" customHeight="1" x14ac:dyDescent="0.25"/>
    <row r="2" ht="20" customHeight="1" spans="2:13" x14ac:dyDescent="0.25">
      <c r="B2" s="27" t="s">
        <v>152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ht="20" customHeight="1" spans="2:13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ht="30" customHeight="1" spans="2:13" x14ac:dyDescent="0.25">
      <c r="B5" s="19" t="s">
        <v>56</v>
      </c>
      <c r="C5" s="19" t="s">
        <v>57</v>
      </c>
      <c r="D5" s="19" t="s">
        <v>58</v>
      </c>
      <c r="E5" s="19" t="s">
        <v>59</v>
      </c>
      <c r="F5" s="19" t="s">
        <v>60</v>
      </c>
      <c r="G5" s="19" t="s">
        <v>61</v>
      </c>
      <c r="H5" s="19" t="s">
        <v>62</v>
      </c>
      <c r="I5" s="19" t="s">
        <v>42</v>
      </c>
      <c r="J5" s="19" t="s">
        <v>63</v>
      </c>
      <c r="K5" s="19" t="s">
        <v>64</v>
      </c>
      <c r="L5" s="19" t="s">
        <v>65</v>
      </c>
      <c r="M5" s="19" t="s">
        <v>66</v>
      </c>
    </row>
    <row r="6" ht="40" customHeight="1" spans="2:12" x14ac:dyDescent="0.25">
      <c r="B6" s="28" t="s">
        <v>153</v>
      </c>
      <c r="C6" s="29" t="s">
        <v>154</v>
      </c>
      <c r="D6" s="30" t="s">
        <v>155</v>
      </c>
      <c r="E6" s="30" t="s">
        <v>156</v>
      </c>
      <c r="F6" s="31" t="s">
        <v>71</v>
      </c>
      <c r="G6" s="32" t="s">
        <v>13</v>
      </c>
      <c r="H6" s="32" t="s">
        <v>13</v>
      </c>
      <c r="I6" s="33" t="s">
        <v>28</v>
      </c>
      <c r="J6" s="30" t="s">
        <v>13</v>
      </c>
      <c r="K6" s="30" t="s">
        <v>13</v>
      </c>
      <c r="L6" s="32" t="s">
        <v>13</v>
      </c>
    </row>
    <row r="7" ht="40" customHeight="1" spans="2:12" x14ac:dyDescent="0.25">
      <c r="B7" s="33" t="s">
        <v>157</v>
      </c>
      <c r="C7" s="20" t="s">
        <v>158</v>
      </c>
      <c r="D7" s="34" t="s">
        <v>159</v>
      </c>
      <c r="E7" s="34" t="s">
        <v>160</v>
      </c>
      <c r="F7" s="31" t="s">
        <v>71</v>
      </c>
      <c r="G7" s="32" t="s">
        <v>13</v>
      </c>
      <c r="H7" s="32" t="s">
        <v>13</v>
      </c>
      <c r="I7" s="33" t="s">
        <v>28</v>
      </c>
      <c r="J7" s="34" t="s">
        <v>13</v>
      </c>
      <c r="K7" s="34" t="s">
        <v>13</v>
      </c>
      <c r="L7" s="32" t="s">
        <v>13</v>
      </c>
    </row>
    <row r="8" ht="40" customHeight="1" spans="2:12" x14ac:dyDescent="0.25">
      <c r="B8" s="28" t="s">
        <v>161</v>
      </c>
      <c r="C8" s="29" t="s">
        <v>162</v>
      </c>
      <c r="D8" s="30" t="s">
        <v>163</v>
      </c>
      <c r="E8" s="30" t="s">
        <v>164</v>
      </c>
      <c r="F8" s="35" t="s">
        <v>76</v>
      </c>
      <c r="G8" s="32" t="s">
        <v>13</v>
      </c>
      <c r="H8" s="32" t="s">
        <v>13</v>
      </c>
      <c r="I8" s="33" t="s">
        <v>28</v>
      </c>
      <c r="J8" s="30" t="s">
        <v>13</v>
      </c>
      <c r="K8" s="30" t="s">
        <v>13</v>
      </c>
      <c r="L8" s="32" t="s">
        <v>13</v>
      </c>
    </row>
    <row r="9" ht="40" customHeight="1" spans="2:12" x14ac:dyDescent="0.25">
      <c r="B9" s="33" t="s">
        <v>165</v>
      </c>
      <c r="C9" s="20" t="s">
        <v>166</v>
      </c>
      <c r="D9" s="34" t="s">
        <v>167</v>
      </c>
      <c r="E9" s="34" t="s">
        <v>168</v>
      </c>
      <c r="F9" s="35" t="s">
        <v>76</v>
      </c>
      <c r="G9" s="32" t="s">
        <v>13</v>
      </c>
      <c r="H9" s="32" t="s">
        <v>13</v>
      </c>
      <c r="I9" s="33" t="s">
        <v>28</v>
      </c>
      <c r="J9" s="34" t="s">
        <v>13</v>
      </c>
      <c r="K9" s="34" t="s">
        <v>13</v>
      </c>
      <c r="L9" s="32" t="s">
        <v>13</v>
      </c>
    </row>
    <row r="10" ht="40" customHeight="1" spans="2:12" x14ac:dyDescent="0.25">
      <c r="B10" s="28" t="s">
        <v>169</v>
      </c>
      <c r="C10" s="29" t="s">
        <v>170</v>
      </c>
      <c r="D10" s="30" t="s">
        <v>171</v>
      </c>
      <c r="E10" s="30" t="s">
        <v>172</v>
      </c>
      <c r="F10" s="31" t="s">
        <v>71</v>
      </c>
      <c r="G10" s="32" t="s">
        <v>13</v>
      </c>
      <c r="H10" s="32" t="s">
        <v>13</v>
      </c>
      <c r="I10" s="33" t="s">
        <v>28</v>
      </c>
      <c r="J10" s="30" t="s">
        <v>13</v>
      </c>
      <c r="K10" s="30" t="s">
        <v>13</v>
      </c>
      <c r="L10" s="32" t="s">
        <v>13</v>
      </c>
    </row>
    <row r="11" ht="40" customHeight="1" spans="2:12" x14ac:dyDescent="0.25">
      <c r="B11" s="33" t="s">
        <v>173</v>
      </c>
      <c r="C11" s="20" t="s">
        <v>174</v>
      </c>
      <c r="D11" s="34" t="s">
        <v>175</v>
      </c>
      <c r="E11" s="34" t="s">
        <v>176</v>
      </c>
      <c r="F11" s="35" t="s">
        <v>76</v>
      </c>
      <c r="G11" s="32" t="s">
        <v>13</v>
      </c>
      <c r="H11" s="32" t="s">
        <v>13</v>
      </c>
      <c r="I11" s="33" t="s">
        <v>28</v>
      </c>
      <c r="J11" s="34" t="s">
        <v>13</v>
      </c>
      <c r="K11" s="34" t="s">
        <v>13</v>
      </c>
      <c r="L11" s="32" t="s">
        <v>13</v>
      </c>
    </row>
    <row r="12" ht="40" customHeight="1" spans="2:12" x14ac:dyDescent="0.25">
      <c r="B12" s="28" t="s">
        <v>177</v>
      </c>
      <c r="C12" s="29" t="s">
        <v>178</v>
      </c>
      <c r="D12" s="30" t="s">
        <v>179</v>
      </c>
      <c r="E12" s="30" t="s">
        <v>180</v>
      </c>
      <c r="F12" s="35" t="s">
        <v>76</v>
      </c>
      <c r="G12" s="32" t="s">
        <v>13</v>
      </c>
      <c r="H12" s="32" t="s">
        <v>13</v>
      </c>
      <c r="I12" s="33" t="s">
        <v>28</v>
      </c>
      <c r="J12" s="30" t="s">
        <v>13</v>
      </c>
      <c r="K12" s="30" t="s">
        <v>13</v>
      </c>
      <c r="L12" s="32" t="s">
        <v>13</v>
      </c>
    </row>
    <row r="13" ht="40" customHeight="1" spans="2:12" x14ac:dyDescent="0.25">
      <c r="B13" s="33" t="s">
        <v>181</v>
      </c>
      <c r="C13" s="20" t="s">
        <v>182</v>
      </c>
      <c r="D13" s="34" t="s">
        <v>183</v>
      </c>
      <c r="E13" s="34" t="s">
        <v>184</v>
      </c>
      <c r="F13" s="36" t="s">
        <v>101</v>
      </c>
      <c r="G13" s="32" t="s">
        <v>13</v>
      </c>
      <c r="H13" s="32" t="s">
        <v>13</v>
      </c>
      <c r="I13" s="33" t="s">
        <v>28</v>
      </c>
      <c r="J13" s="34" t="s">
        <v>13</v>
      </c>
      <c r="K13" s="34" t="s">
        <v>13</v>
      </c>
      <c r="L13" s="32" t="s">
        <v>13</v>
      </c>
    </row>
    <row r="14" ht="40" customHeight="1" spans="2:12" x14ac:dyDescent="0.25">
      <c r="B14" s="28" t="s">
        <v>185</v>
      </c>
      <c r="C14" s="29" t="s">
        <v>186</v>
      </c>
      <c r="D14" s="30" t="s">
        <v>187</v>
      </c>
      <c r="E14" s="30" t="s">
        <v>188</v>
      </c>
      <c r="F14" s="35" t="s">
        <v>76</v>
      </c>
      <c r="G14" s="32" t="s">
        <v>13</v>
      </c>
      <c r="H14" s="32" t="s">
        <v>13</v>
      </c>
      <c r="I14" s="33" t="s">
        <v>28</v>
      </c>
      <c r="J14" s="30" t="s">
        <v>13</v>
      </c>
      <c r="K14" s="30" t="s">
        <v>13</v>
      </c>
      <c r="L14" s="32" t="s">
        <v>13</v>
      </c>
    </row>
    <row r="15" ht="40" customHeight="1" spans="2:12" x14ac:dyDescent="0.25">
      <c r="B15" s="33" t="s">
        <v>189</v>
      </c>
      <c r="C15" s="20" t="s">
        <v>190</v>
      </c>
      <c r="D15" s="34" t="s">
        <v>191</v>
      </c>
      <c r="E15" s="34" t="s">
        <v>192</v>
      </c>
      <c r="F15" s="36" t="s">
        <v>101</v>
      </c>
      <c r="G15" s="32" t="s">
        <v>13</v>
      </c>
      <c r="H15" s="32" t="s">
        <v>13</v>
      </c>
      <c r="I15" s="33" t="s">
        <v>28</v>
      </c>
      <c r="J15" s="34" t="s">
        <v>13</v>
      </c>
      <c r="K15" s="34" t="s">
        <v>13</v>
      </c>
      <c r="L15" s="32" t="s">
        <v>13</v>
      </c>
    </row>
    <row r="16" ht="40" customHeight="1" spans="2:12" x14ac:dyDescent="0.25">
      <c r="B16" s="28" t="s">
        <v>193</v>
      </c>
      <c r="C16" s="29" t="s">
        <v>194</v>
      </c>
      <c r="D16" s="30" t="s">
        <v>195</v>
      </c>
      <c r="E16" s="30" t="s">
        <v>196</v>
      </c>
      <c r="F16" s="36" t="s">
        <v>101</v>
      </c>
      <c r="G16" s="32" t="s">
        <v>13</v>
      </c>
      <c r="H16" s="32" t="s">
        <v>13</v>
      </c>
      <c r="I16" s="33" t="s">
        <v>28</v>
      </c>
      <c r="J16" s="30" t="s">
        <v>13</v>
      </c>
      <c r="K16" s="30" t="s">
        <v>13</v>
      </c>
      <c r="L16" s="32" t="s">
        <v>13</v>
      </c>
    </row>
    <row r="17" ht="40" customHeight="1" spans="2:12" x14ac:dyDescent="0.25">
      <c r="B17" s="33" t="s">
        <v>197</v>
      </c>
      <c r="C17" s="20" t="s">
        <v>198</v>
      </c>
      <c r="D17" s="34" t="s">
        <v>199</v>
      </c>
      <c r="E17" s="34" t="s">
        <v>200</v>
      </c>
      <c r="F17" s="35" t="s">
        <v>76</v>
      </c>
      <c r="G17" s="32" t="s">
        <v>13</v>
      </c>
      <c r="H17" s="32" t="s">
        <v>13</v>
      </c>
      <c r="I17" s="33" t="s">
        <v>28</v>
      </c>
      <c r="J17" s="34" t="s">
        <v>13</v>
      </c>
      <c r="K17" s="34" t="s">
        <v>13</v>
      </c>
      <c r="L17" s="32" t="s">
        <v>13</v>
      </c>
    </row>
    <row r="19" ht="20" customHeight="1" spans="2:13" x14ac:dyDescent="0.25">
      <c r="B19" s="26" t="s">
        <v>110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</sheetData>
  <mergeCells count="2">
    <mergeCell ref="B2:M3"/>
    <mergeCell ref="B19:M19"/>
  </mergeCells>
  <dataValidations count="2">
    <dataValidation type="list" allowBlank="1" sqref="G6:G17">
      <formula1>"Critical,High,Medium,Low"</formula1>
    </dataValidation>
    <dataValidation type="list" allowBlank="1" sqref="J6:J17">
      <formula1>"PASS,FAIL,BLOCKED,NOT RUN,IN PROGRESS,N/A"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9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30" customWidth="1"/>
    <col min="4" max="4" width="44" customWidth="1"/>
    <col min="5" max="5" width="32" customWidth="1"/>
    <col min="6" max="6" width="10" customWidth="1"/>
    <col min="7" max="7" width="13" customWidth="1"/>
    <col min="8" max="8" width="14" customWidth="1"/>
    <col min="9" max="9" width="12" customWidth="1"/>
    <col min="10" max="10" width="22" customWidth="1"/>
    <col min="11" max="11" width="30" customWidth="1"/>
    <col min="12" max="12" width="12" customWidth="1"/>
  </cols>
  <sheetData>
    <row r="1" ht="8" customHeight="1" x14ac:dyDescent="0.25"/>
    <row r="2" ht="20" customHeight="1" spans="2:13" x14ac:dyDescent="0.25">
      <c r="B2" s="27" t="s">
        <v>201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ht="20" customHeight="1" spans="2:13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ht="30" customHeight="1" spans="2:13" x14ac:dyDescent="0.25">
      <c r="B5" s="19" t="s">
        <v>56</v>
      </c>
      <c r="C5" s="19" t="s">
        <v>57</v>
      </c>
      <c r="D5" s="19" t="s">
        <v>58</v>
      </c>
      <c r="E5" s="19" t="s">
        <v>59</v>
      </c>
      <c r="F5" s="19" t="s">
        <v>60</v>
      </c>
      <c r="G5" s="19" t="s">
        <v>61</v>
      </c>
      <c r="H5" s="19" t="s">
        <v>62</v>
      </c>
      <c r="I5" s="19" t="s">
        <v>42</v>
      </c>
      <c r="J5" s="19" t="s">
        <v>63</v>
      </c>
      <c r="K5" s="19" t="s">
        <v>64</v>
      </c>
      <c r="L5" s="19" t="s">
        <v>65</v>
      </c>
      <c r="M5" s="19" t="s">
        <v>66</v>
      </c>
    </row>
    <row r="6" ht="40" customHeight="1" spans="2:12" x14ac:dyDescent="0.25">
      <c r="B6" s="28" t="s">
        <v>202</v>
      </c>
      <c r="C6" s="29" t="s">
        <v>203</v>
      </c>
      <c r="D6" s="30" t="s">
        <v>204</v>
      </c>
      <c r="E6" s="30" t="s">
        <v>205</v>
      </c>
      <c r="F6" s="31" t="s">
        <v>71</v>
      </c>
      <c r="G6" s="32" t="s">
        <v>13</v>
      </c>
      <c r="H6" s="32" t="s">
        <v>13</v>
      </c>
      <c r="I6" s="33" t="s">
        <v>28</v>
      </c>
      <c r="J6" s="30" t="s">
        <v>13</v>
      </c>
      <c r="K6" s="30" t="s">
        <v>13</v>
      </c>
      <c r="L6" s="32" t="s">
        <v>13</v>
      </c>
    </row>
    <row r="7" ht="40" customHeight="1" spans="2:12" x14ac:dyDescent="0.25">
      <c r="B7" s="33" t="s">
        <v>206</v>
      </c>
      <c r="C7" s="20" t="s">
        <v>207</v>
      </c>
      <c r="D7" s="34" t="s">
        <v>208</v>
      </c>
      <c r="E7" s="34" t="s">
        <v>209</v>
      </c>
      <c r="F7" s="31" t="s">
        <v>71</v>
      </c>
      <c r="G7" s="32" t="s">
        <v>13</v>
      </c>
      <c r="H7" s="32" t="s">
        <v>13</v>
      </c>
      <c r="I7" s="33" t="s">
        <v>28</v>
      </c>
      <c r="J7" s="34" t="s">
        <v>13</v>
      </c>
      <c r="K7" s="34" t="s">
        <v>13</v>
      </c>
      <c r="L7" s="32" t="s">
        <v>13</v>
      </c>
    </row>
    <row r="8" ht="40" customHeight="1" spans="2:12" x14ac:dyDescent="0.25">
      <c r="B8" s="28" t="s">
        <v>210</v>
      </c>
      <c r="C8" s="29" t="s">
        <v>211</v>
      </c>
      <c r="D8" s="30" t="s">
        <v>212</v>
      </c>
      <c r="E8" s="30" t="s">
        <v>213</v>
      </c>
      <c r="F8" s="31" t="s">
        <v>71</v>
      </c>
      <c r="G8" s="32" t="s">
        <v>13</v>
      </c>
      <c r="H8" s="32" t="s">
        <v>13</v>
      </c>
      <c r="I8" s="33" t="s">
        <v>28</v>
      </c>
      <c r="J8" s="30" t="s">
        <v>13</v>
      </c>
      <c r="K8" s="30" t="s">
        <v>13</v>
      </c>
      <c r="L8" s="32" t="s">
        <v>13</v>
      </c>
    </row>
    <row r="9" ht="40" customHeight="1" spans="2:12" x14ac:dyDescent="0.25">
      <c r="B9" s="33" t="s">
        <v>214</v>
      </c>
      <c r="C9" s="20" t="s">
        <v>215</v>
      </c>
      <c r="D9" s="34" t="s">
        <v>216</v>
      </c>
      <c r="E9" s="34" t="s">
        <v>217</v>
      </c>
      <c r="F9" s="31" t="s">
        <v>71</v>
      </c>
      <c r="G9" s="32" t="s">
        <v>13</v>
      </c>
      <c r="H9" s="32" t="s">
        <v>13</v>
      </c>
      <c r="I9" s="33" t="s">
        <v>28</v>
      </c>
      <c r="J9" s="34" t="s">
        <v>13</v>
      </c>
      <c r="K9" s="34" t="s">
        <v>13</v>
      </c>
      <c r="L9" s="32" t="s">
        <v>13</v>
      </c>
    </row>
    <row r="10" ht="40" customHeight="1" spans="2:12" x14ac:dyDescent="0.25">
      <c r="B10" s="28" t="s">
        <v>218</v>
      </c>
      <c r="C10" s="29" t="s">
        <v>219</v>
      </c>
      <c r="D10" s="30" t="s">
        <v>220</v>
      </c>
      <c r="E10" s="30" t="s">
        <v>221</v>
      </c>
      <c r="F10" s="35" t="s">
        <v>76</v>
      </c>
      <c r="G10" s="32" t="s">
        <v>13</v>
      </c>
      <c r="H10" s="32" t="s">
        <v>13</v>
      </c>
      <c r="I10" s="33" t="s">
        <v>28</v>
      </c>
      <c r="J10" s="30" t="s">
        <v>13</v>
      </c>
      <c r="K10" s="30" t="s">
        <v>13</v>
      </c>
      <c r="L10" s="32" t="s">
        <v>13</v>
      </c>
    </row>
    <row r="11" ht="40" customHeight="1" spans="2:12" x14ac:dyDescent="0.25">
      <c r="B11" s="33" t="s">
        <v>222</v>
      </c>
      <c r="C11" s="20" t="s">
        <v>223</v>
      </c>
      <c r="D11" s="34" t="s">
        <v>224</v>
      </c>
      <c r="E11" s="34" t="s">
        <v>225</v>
      </c>
      <c r="F11" s="35" t="s">
        <v>76</v>
      </c>
      <c r="G11" s="32" t="s">
        <v>13</v>
      </c>
      <c r="H11" s="32" t="s">
        <v>13</v>
      </c>
      <c r="I11" s="33" t="s">
        <v>28</v>
      </c>
      <c r="J11" s="34" t="s">
        <v>13</v>
      </c>
      <c r="K11" s="34" t="s">
        <v>13</v>
      </c>
      <c r="L11" s="32" t="s">
        <v>13</v>
      </c>
    </row>
    <row r="12" ht="40" customHeight="1" spans="2:12" x14ac:dyDescent="0.25">
      <c r="B12" s="28" t="s">
        <v>226</v>
      </c>
      <c r="C12" s="29" t="s">
        <v>227</v>
      </c>
      <c r="D12" s="30" t="s">
        <v>228</v>
      </c>
      <c r="E12" s="30" t="s">
        <v>229</v>
      </c>
      <c r="F12" s="31" t="s">
        <v>71</v>
      </c>
      <c r="G12" s="32" t="s">
        <v>13</v>
      </c>
      <c r="H12" s="32" t="s">
        <v>13</v>
      </c>
      <c r="I12" s="33" t="s">
        <v>28</v>
      </c>
      <c r="J12" s="30" t="s">
        <v>13</v>
      </c>
      <c r="K12" s="30" t="s">
        <v>13</v>
      </c>
      <c r="L12" s="32" t="s">
        <v>13</v>
      </c>
    </row>
    <row r="13" ht="40" customHeight="1" spans="2:12" x14ac:dyDescent="0.25">
      <c r="B13" s="33" t="s">
        <v>230</v>
      </c>
      <c r="C13" s="20" t="s">
        <v>231</v>
      </c>
      <c r="D13" s="34" t="s">
        <v>232</v>
      </c>
      <c r="E13" s="34" t="s">
        <v>233</v>
      </c>
      <c r="F13" s="35" t="s">
        <v>76</v>
      </c>
      <c r="G13" s="32" t="s">
        <v>13</v>
      </c>
      <c r="H13" s="32" t="s">
        <v>13</v>
      </c>
      <c r="I13" s="33" t="s">
        <v>28</v>
      </c>
      <c r="J13" s="34" t="s">
        <v>13</v>
      </c>
      <c r="K13" s="34" t="s">
        <v>13</v>
      </c>
      <c r="L13" s="32" t="s">
        <v>13</v>
      </c>
    </row>
    <row r="14" ht="40" customHeight="1" spans="2:12" x14ac:dyDescent="0.25">
      <c r="B14" s="28" t="s">
        <v>234</v>
      </c>
      <c r="C14" s="29" t="s">
        <v>235</v>
      </c>
      <c r="D14" s="30" t="s">
        <v>236</v>
      </c>
      <c r="E14" s="30" t="s">
        <v>237</v>
      </c>
      <c r="F14" s="36" t="s">
        <v>101</v>
      </c>
      <c r="G14" s="32" t="s">
        <v>13</v>
      </c>
      <c r="H14" s="32" t="s">
        <v>13</v>
      </c>
      <c r="I14" s="33" t="s">
        <v>28</v>
      </c>
      <c r="J14" s="30" t="s">
        <v>13</v>
      </c>
      <c r="K14" s="30" t="s">
        <v>13</v>
      </c>
      <c r="L14" s="32" t="s">
        <v>13</v>
      </c>
    </row>
    <row r="15" ht="40" customHeight="1" spans="2:12" x14ac:dyDescent="0.25">
      <c r="B15" s="33" t="s">
        <v>238</v>
      </c>
      <c r="C15" s="20" t="s">
        <v>239</v>
      </c>
      <c r="D15" s="34" t="s">
        <v>240</v>
      </c>
      <c r="E15" s="34" t="s">
        <v>241</v>
      </c>
      <c r="F15" s="35" t="s">
        <v>76</v>
      </c>
      <c r="G15" s="32" t="s">
        <v>13</v>
      </c>
      <c r="H15" s="32" t="s">
        <v>13</v>
      </c>
      <c r="I15" s="33" t="s">
        <v>28</v>
      </c>
      <c r="J15" s="34" t="s">
        <v>13</v>
      </c>
      <c r="K15" s="34" t="s">
        <v>13</v>
      </c>
      <c r="L15" s="32" t="s">
        <v>13</v>
      </c>
    </row>
    <row r="16" ht="40" customHeight="1" spans="2:12" x14ac:dyDescent="0.25">
      <c r="B16" s="28" t="s">
        <v>242</v>
      </c>
      <c r="C16" s="29" t="s">
        <v>243</v>
      </c>
      <c r="D16" s="30" t="s">
        <v>244</v>
      </c>
      <c r="E16" s="30" t="s">
        <v>245</v>
      </c>
      <c r="F16" s="35" t="s">
        <v>76</v>
      </c>
      <c r="G16" s="32" t="s">
        <v>13</v>
      </c>
      <c r="H16" s="32" t="s">
        <v>13</v>
      </c>
      <c r="I16" s="33" t="s">
        <v>28</v>
      </c>
      <c r="J16" s="30" t="s">
        <v>13</v>
      </c>
      <c r="K16" s="30" t="s">
        <v>13</v>
      </c>
      <c r="L16" s="32" t="s">
        <v>13</v>
      </c>
    </row>
    <row r="17" ht="40" customHeight="1" spans="2:12" x14ac:dyDescent="0.25">
      <c r="B17" s="33" t="s">
        <v>246</v>
      </c>
      <c r="C17" s="20" t="s">
        <v>247</v>
      </c>
      <c r="D17" s="34" t="s">
        <v>248</v>
      </c>
      <c r="E17" s="34" t="s">
        <v>249</v>
      </c>
      <c r="F17" s="35" t="s">
        <v>76</v>
      </c>
      <c r="G17" s="32" t="s">
        <v>13</v>
      </c>
      <c r="H17" s="32" t="s">
        <v>13</v>
      </c>
      <c r="I17" s="33" t="s">
        <v>28</v>
      </c>
      <c r="J17" s="34" t="s">
        <v>13</v>
      </c>
      <c r="K17" s="34" t="s">
        <v>13</v>
      </c>
      <c r="L17" s="32" t="s">
        <v>13</v>
      </c>
    </row>
    <row r="19" ht="20" customHeight="1" spans="2:13" x14ac:dyDescent="0.25">
      <c r="B19" s="26" t="s">
        <v>110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</sheetData>
  <mergeCells count="2">
    <mergeCell ref="B2:M3"/>
    <mergeCell ref="B19:M19"/>
  </mergeCells>
  <dataValidations count="2">
    <dataValidation type="list" allowBlank="1" sqref="G6:G17">
      <formula1>"Critical,High,Medium,Low"</formula1>
    </dataValidation>
    <dataValidation type="list" allowBlank="1" sqref="J6:J17">
      <formula1>"PASS,FAIL,BLOCKED,NOT RUN,IN PROGRESS,N/A"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30" customWidth="1"/>
    <col min="4" max="4" width="44" customWidth="1"/>
    <col min="5" max="5" width="32" customWidth="1"/>
    <col min="6" max="6" width="10" customWidth="1"/>
    <col min="7" max="7" width="13" customWidth="1"/>
    <col min="8" max="8" width="14" customWidth="1"/>
    <col min="9" max="9" width="12" customWidth="1"/>
    <col min="10" max="10" width="22" customWidth="1"/>
    <col min="11" max="11" width="30" customWidth="1"/>
    <col min="12" max="12" width="12" customWidth="1"/>
  </cols>
  <sheetData>
    <row r="1" ht="8" customHeight="1" x14ac:dyDescent="0.25"/>
    <row r="2" ht="20" customHeight="1" spans="2:13" x14ac:dyDescent="0.25">
      <c r="B2" s="27" t="s">
        <v>250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ht="20" customHeight="1" spans="2:13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ht="30" customHeight="1" spans="2:13" x14ac:dyDescent="0.25">
      <c r="B5" s="19" t="s">
        <v>56</v>
      </c>
      <c r="C5" s="19" t="s">
        <v>57</v>
      </c>
      <c r="D5" s="19" t="s">
        <v>58</v>
      </c>
      <c r="E5" s="19" t="s">
        <v>59</v>
      </c>
      <c r="F5" s="19" t="s">
        <v>60</v>
      </c>
      <c r="G5" s="19" t="s">
        <v>61</v>
      </c>
      <c r="H5" s="19" t="s">
        <v>62</v>
      </c>
      <c r="I5" s="19" t="s">
        <v>42</v>
      </c>
      <c r="J5" s="19" t="s">
        <v>63</v>
      </c>
      <c r="K5" s="19" t="s">
        <v>64</v>
      </c>
      <c r="L5" s="19" t="s">
        <v>65</v>
      </c>
      <c r="M5" s="19" t="s">
        <v>66</v>
      </c>
    </row>
    <row r="6" ht="40" customHeight="1" spans="2:12" x14ac:dyDescent="0.25">
      <c r="B6" s="28" t="s">
        <v>251</v>
      </c>
      <c r="C6" s="29" t="s">
        <v>252</v>
      </c>
      <c r="D6" s="30" t="s">
        <v>253</v>
      </c>
      <c r="E6" s="30" t="s">
        <v>254</v>
      </c>
      <c r="F6" s="31" t="s">
        <v>71</v>
      </c>
      <c r="G6" s="32" t="s">
        <v>13</v>
      </c>
      <c r="H6" s="32" t="s">
        <v>13</v>
      </c>
      <c r="I6" s="33" t="s">
        <v>28</v>
      </c>
      <c r="J6" s="30" t="s">
        <v>13</v>
      </c>
      <c r="K6" s="30" t="s">
        <v>13</v>
      </c>
      <c r="L6" s="32" t="s">
        <v>13</v>
      </c>
    </row>
    <row r="7" ht="40" customHeight="1" spans="2:12" x14ac:dyDescent="0.25">
      <c r="B7" s="33" t="s">
        <v>255</v>
      </c>
      <c r="C7" s="20" t="s">
        <v>256</v>
      </c>
      <c r="D7" s="34" t="s">
        <v>257</v>
      </c>
      <c r="E7" s="34" t="s">
        <v>258</v>
      </c>
      <c r="F7" s="31" t="s">
        <v>71</v>
      </c>
      <c r="G7" s="32" t="s">
        <v>13</v>
      </c>
      <c r="H7" s="32" t="s">
        <v>13</v>
      </c>
      <c r="I7" s="33" t="s">
        <v>28</v>
      </c>
      <c r="J7" s="34" t="s">
        <v>13</v>
      </c>
      <c r="K7" s="34" t="s">
        <v>13</v>
      </c>
      <c r="L7" s="32" t="s">
        <v>13</v>
      </c>
    </row>
    <row r="8" ht="40" customHeight="1" spans="2:12" x14ac:dyDescent="0.25">
      <c r="B8" s="28" t="s">
        <v>259</v>
      </c>
      <c r="C8" s="29" t="s">
        <v>260</v>
      </c>
      <c r="D8" s="30" t="s">
        <v>261</v>
      </c>
      <c r="E8" s="30" t="s">
        <v>262</v>
      </c>
      <c r="F8" s="35" t="s">
        <v>76</v>
      </c>
      <c r="G8" s="32" t="s">
        <v>13</v>
      </c>
      <c r="H8" s="32" t="s">
        <v>13</v>
      </c>
      <c r="I8" s="33" t="s">
        <v>28</v>
      </c>
      <c r="J8" s="30" t="s">
        <v>13</v>
      </c>
      <c r="K8" s="30" t="s">
        <v>13</v>
      </c>
      <c r="L8" s="32" t="s">
        <v>13</v>
      </c>
    </row>
    <row r="9" ht="40" customHeight="1" spans="2:12" x14ac:dyDescent="0.25">
      <c r="B9" s="33" t="s">
        <v>263</v>
      </c>
      <c r="C9" s="20" t="s">
        <v>264</v>
      </c>
      <c r="D9" s="34" t="s">
        <v>265</v>
      </c>
      <c r="E9" s="34" t="s">
        <v>266</v>
      </c>
      <c r="F9" s="35" t="s">
        <v>76</v>
      </c>
      <c r="G9" s="32" t="s">
        <v>13</v>
      </c>
      <c r="H9" s="32" t="s">
        <v>13</v>
      </c>
      <c r="I9" s="33" t="s">
        <v>28</v>
      </c>
      <c r="J9" s="34" t="s">
        <v>13</v>
      </c>
      <c r="K9" s="34" t="s">
        <v>13</v>
      </c>
      <c r="L9" s="32" t="s">
        <v>13</v>
      </c>
    </row>
    <row r="10" ht="40" customHeight="1" spans="2:12" x14ac:dyDescent="0.25">
      <c r="B10" s="28" t="s">
        <v>267</v>
      </c>
      <c r="C10" s="29" t="s">
        <v>268</v>
      </c>
      <c r="D10" s="30" t="s">
        <v>269</v>
      </c>
      <c r="E10" s="30" t="s">
        <v>270</v>
      </c>
      <c r="F10" s="31" t="s">
        <v>71</v>
      </c>
      <c r="G10" s="32" t="s">
        <v>13</v>
      </c>
      <c r="H10" s="32" t="s">
        <v>13</v>
      </c>
      <c r="I10" s="33" t="s">
        <v>28</v>
      </c>
      <c r="J10" s="30" t="s">
        <v>13</v>
      </c>
      <c r="K10" s="30" t="s">
        <v>13</v>
      </c>
      <c r="L10" s="32" t="s">
        <v>13</v>
      </c>
    </row>
    <row r="11" ht="40" customHeight="1" spans="2:12" x14ac:dyDescent="0.25">
      <c r="B11" s="33" t="s">
        <v>271</v>
      </c>
      <c r="C11" s="20" t="s">
        <v>272</v>
      </c>
      <c r="D11" s="34" t="s">
        <v>273</v>
      </c>
      <c r="E11" s="34" t="s">
        <v>274</v>
      </c>
      <c r="F11" s="35" t="s">
        <v>76</v>
      </c>
      <c r="G11" s="32" t="s">
        <v>13</v>
      </c>
      <c r="H11" s="32" t="s">
        <v>13</v>
      </c>
      <c r="I11" s="33" t="s">
        <v>28</v>
      </c>
      <c r="J11" s="34" t="s">
        <v>13</v>
      </c>
      <c r="K11" s="34" t="s">
        <v>13</v>
      </c>
      <c r="L11" s="32" t="s">
        <v>13</v>
      </c>
    </row>
    <row r="12" ht="40" customHeight="1" spans="2:12" x14ac:dyDescent="0.25">
      <c r="B12" s="28" t="s">
        <v>275</v>
      </c>
      <c r="C12" s="29" t="s">
        <v>276</v>
      </c>
      <c r="D12" s="30" t="s">
        <v>277</v>
      </c>
      <c r="E12" s="30" t="s">
        <v>278</v>
      </c>
      <c r="F12" s="35" t="s">
        <v>76</v>
      </c>
      <c r="G12" s="32" t="s">
        <v>13</v>
      </c>
      <c r="H12" s="32" t="s">
        <v>13</v>
      </c>
      <c r="I12" s="33" t="s">
        <v>28</v>
      </c>
      <c r="J12" s="30" t="s">
        <v>13</v>
      </c>
      <c r="K12" s="30" t="s">
        <v>13</v>
      </c>
      <c r="L12" s="32" t="s">
        <v>13</v>
      </c>
    </row>
    <row r="13" ht="40" customHeight="1" spans="2:12" x14ac:dyDescent="0.25">
      <c r="B13" s="33" t="s">
        <v>279</v>
      </c>
      <c r="C13" s="20" t="s">
        <v>280</v>
      </c>
      <c r="D13" s="34" t="s">
        <v>281</v>
      </c>
      <c r="E13" s="34" t="s">
        <v>282</v>
      </c>
      <c r="F13" s="36" t="s">
        <v>101</v>
      </c>
      <c r="G13" s="32" t="s">
        <v>13</v>
      </c>
      <c r="H13" s="32" t="s">
        <v>13</v>
      </c>
      <c r="I13" s="33" t="s">
        <v>28</v>
      </c>
      <c r="J13" s="34" t="s">
        <v>13</v>
      </c>
      <c r="K13" s="34" t="s">
        <v>13</v>
      </c>
      <c r="L13" s="32" t="s">
        <v>13</v>
      </c>
    </row>
    <row r="15" ht="20" customHeight="1" spans="2:13" x14ac:dyDescent="0.25">
      <c r="B15" s="26" t="s">
        <v>110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</sheetData>
  <mergeCells count="2">
    <mergeCell ref="B2:M3"/>
    <mergeCell ref="B15:M15"/>
  </mergeCells>
  <dataValidations count="2">
    <dataValidation type="list" allowBlank="1" sqref="G6:G13">
      <formula1>"Critical,High,Medium,Low"</formula1>
    </dataValidation>
    <dataValidation type="list" allowBlank="1" sqref="J6:J13">
      <formula1>"PASS,FAIL,BLOCKED,NOT RUN,IN PROGRESS,N/A"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30" customWidth="1"/>
    <col min="4" max="4" width="44" customWidth="1"/>
    <col min="5" max="5" width="32" customWidth="1"/>
    <col min="6" max="6" width="10" customWidth="1"/>
    <col min="7" max="7" width="13" customWidth="1"/>
    <col min="8" max="8" width="14" customWidth="1"/>
    <col min="9" max="9" width="12" customWidth="1"/>
    <col min="10" max="10" width="22" customWidth="1"/>
    <col min="11" max="11" width="30" customWidth="1"/>
    <col min="12" max="12" width="12" customWidth="1"/>
  </cols>
  <sheetData>
    <row r="1" ht="8" customHeight="1" x14ac:dyDescent="0.25"/>
    <row r="2" ht="20" customHeight="1" spans="2:13" x14ac:dyDescent="0.25">
      <c r="B2" s="27" t="s">
        <v>283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ht="20" customHeight="1" spans="2:13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ht="30" customHeight="1" spans="2:13" x14ac:dyDescent="0.25">
      <c r="B5" s="19" t="s">
        <v>56</v>
      </c>
      <c r="C5" s="19" t="s">
        <v>57</v>
      </c>
      <c r="D5" s="19" t="s">
        <v>58</v>
      </c>
      <c r="E5" s="19" t="s">
        <v>59</v>
      </c>
      <c r="F5" s="19" t="s">
        <v>60</v>
      </c>
      <c r="G5" s="19" t="s">
        <v>61</v>
      </c>
      <c r="H5" s="19" t="s">
        <v>62</v>
      </c>
      <c r="I5" s="19" t="s">
        <v>42</v>
      </c>
      <c r="J5" s="19" t="s">
        <v>63</v>
      </c>
      <c r="K5" s="19" t="s">
        <v>64</v>
      </c>
      <c r="L5" s="19" t="s">
        <v>65</v>
      </c>
      <c r="M5" s="19" t="s">
        <v>66</v>
      </c>
    </row>
    <row r="6" ht="40" customHeight="1" spans="2:12" x14ac:dyDescent="0.25">
      <c r="B6" s="28" t="s">
        <v>284</v>
      </c>
      <c r="C6" s="29" t="s">
        <v>285</v>
      </c>
      <c r="D6" s="30" t="s">
        <v>286</v>
      </c>
      <c r="E6" s="30" t="s">
        <v>287</v>
      </c>
      <c r="F6" s="31" t="s">
        <v>71</v>
      </c>
      <c r="G6" s="32" t="s">
        <v>13</v>
      </c>
      <c r="H6" s="32" t="s">
        <v>13</v>
      </c>
      <c r="I6" s="33" t="s">
        <v>28</v>
      </c>
      <c r="J6" s="30" t="s">
        <v>13</v>
      </c>
      <c r="K6" s="30" t="s">
        <v>13</v>
      </c>
      <c r="L6" s="32" t="s">
        <v>13</v>
      </c>
    </row>
    <row r="7" ht="40" customHeight="1" spans="2:12" x14ac:dyDescent="0.25">
      <c r="B7" s="33" t="s">
        <v>288</v>
      </c>
      <c r="C7" s="20" t="s">
        <v>289</v>
      </c>
      <c r="D7" s="34" t="s">
        <v>290</v>
      </c>
      <c r="E7" s="34" t="s">
        <v>291</v>
      </c>
      <c r="F7" s="31" t="s">
        <v>71</v>
      </c>
      <c r="G7" s="32" t="s">
        <v>13</v>
      </c>
      <c r="H7" s="32" t="s">
        <v>13</v>
      </c>
      <c r="I7" s="33" t="s">
        <v>28</v>
      </c>
      <c r="J7" s="34" t="s">
        <v>13</v>
      </c>
      <c r="K7" s="34" t="s">
        <v>13</v>
      </c>
      <c r="L7" s="32" t="s">
        <v>13</v>
      </c>
    </row>
    <row r="8" ht="40" customHeight="1" spans="2:12" x14ac:dyDescent="0.25">
      <c r="B8" s="28" t="s">
        <v>292</v>
      </c>
      <c r="C8" s="29" t="s">
        <v>293</v>
      </c>
      <c r="D8" s="30" t="s">
        <v>294</v>
      </c>
      <c r="E8" s="30" t="s">
        <v>295</v>
      </c>
      <c r="F8" s="35" t="s">
        <v>76</v>
      </c>
      <c r="G8" s="32" t="s">
        <v>13</v>
      </c>
      <c r="H8" s="32" t="s">
        <v>13</v>
      </c>
      <c r="I8" s="33" t="s">
        <v>28</v>
      </c>
      <c r="J8" s="30" t="s">
        <v>13</v>
      </c>
      <c r="K8" s="30" t="s">
        <v>13</v>
      </c>
      <c r="L8" s="32" t="s">
        <v>13</v>
      </c>
    </row>
    <row r="9" ht="40" customHeight="1" spans="2:12" x14ac:dyDescent="0.25">
      <c r="B9" s="33" t="s">
        <v>296</v>
      </c>
      <c r="C9" s="20" t="s">
        <v>297</v>
      </c>
      <c r="D9" s="34" t="s">
        <v>298</v>
      </c>
      <c r="E9" s="34" t="s">
        <v>299</v>
      </c>
      <c r="F9" s="35" t="s">
        <v>76</v>
      </c>
      <c r="G9" s="32" t="s">
        <v>13</v>
      </c>
      <c r="H9" s="32" t="s">
        <v>13</v>
      </c>
      <c r="I9" s="33" t="s">
        <v>28</v>
      </c>
      <c r="J9" s="34" t="s">
        <v>13</v>
      </c>
      <c r="K9" s="34" t="s">
        <v>13</v>
      </c>
      <c r="L9" s="32" t="s">
        <v>13</v>
      </c>
    </row>
    <row r="10" ht="40" customHeight="1" spans="2:12" x14ac:dyDescent="0.25">
      <c r="B10" s="28" t="s">
        <v>300</v>
      </c>
      <c r="C10" s="29" t="s">
        <v>301</v>
      </c>
      <c r="D10" s="30" t="s">
        <v>302</v>
      </c>
      <c r="E10" s="30" t="s">
        <v>303</v>
      </c>
      <c r="F10" s="35" t="s">
        <v>76</v>
      </c>
      <c r="G10" s="32" t="s">
        <v>13</v>
      </c>
      <c r="H10" s="32" t="s">
        <v>13</v>
      </c>
      <c r="I10" s="33" t="s">
        <v>28</v>
      </c>
      <c r="J10" s="30" t="s">
        <v>13</v>
      </c>
      <c r="K10" s="30" t="s">
        <v>13</v>
      </c>
      <c r="L10" s="32" t="s">
        <v>13</v>
      </c>
    </row>
    <row r="11" ht="40" customHeight="1" spans="2:12" x14ac:dyDescent="0.25">
      <c r="B11" s="33" t="s">
        <v>304</v>
      </c>
      <c r="C11" s="20" t="s">
        <v>305</v>
      </c>
      <c r="D11" s="34" t="s">
        <v>306</v>
      </c>
      <c r="E11" s="34" t="s">
        <v>307</v>
      </c>
      <c r="F11" s="36" t="s">
        <v>101</v>
      </c>
      <c r="G11" s="32" t="s">
        <v>13</v>
      </c>
      <c r="H11" s="32" t="s">
        <v>13</v>
      </c>
      <c r="I11" s="33" t="s">
        <v>28</v>
      </c>
      <c r="J11" s="34" t="s">
        <v>13</v>
      </c>
      <c r="K11" s="34" t="s">
        <v>13</v>
      </c>
      <c r="L11" s="32" t="s">
        <v>13</v>
      </c>
    </row>
    <row r="12" ht="40" customHeight="1" spans="2:12" x14ac:dyDescent="0.25">
      <c r="B12" s="28" t="s">
        <v>308</v>
      </c>
      <c r="C12" s="29" t="s">
        <v>309</v>
      </c>
      <c r="D12" s="30" t="s">
        <v>310</v>
      </c>
      <c r="E12" s="30" t="s">
        <v>311</v>
      </c>
      <c r="F12" s="35" t="s">
        <v>76</v>
      </c>
      <c r="G12" s="32" t="s">
        <v>13</v>
      </c>
      <c r="H12" s="32" t="s">
        <v>13</v>
      </c>
      <c r="I12" s="33" t="s">
        <v>28</v>
      </c>
      <c r="J12" s="30" t="s">
        <v>13</v>
      </c>
      <c r="K12" s="30" t="s">
        <v>13</v>
      </c>
      <c r="L12" s="32" t="s">
        <v>13</v>
      </c>
    </row>
    <row r="13" ht="40" customHeight="1" spans="2:12" x14ac:dyDescent="0.25">
      <c r="B13" s="33" t="s">
        <v>312</v>
      </c>
      <c r="C13" s="20" t="s">
        <v>313</v>
      </c>
      <c r="D13" s="34" t="s">
        <v>314</v>
      </c>
      <c r="E13" s="34" t="s">
        <v>315</v>
      </c>
      <c r="F13" s="36" t="s">
        <v>101</v>
      </c>
      <c r="G13" s="32" t="s">
        <v>13</v>
      </c>
      <c r="H13" s="32" t="s">
        <v>13</v>
      </c>
      <c r="I13" s="33" t="s">
        <v>28</v>
      </c>
      <c r="J13" s="34" t="s">
        <v>13</v>
      </c>
      <c r="K13" s="34" t="s">
        <v>13</v>
      </c>
      <c r="L13" s="32" t="s">
        <v>13</v>
      </c>
    </row>
    <row r="14" ht="40" customHeight="1" spans="2:12" x14ac:dyDescent="0.25">
      <c r="B14" s="28" t="s">
        <v>316</v>
      </c>
      <c r="C14" s="29" t="s">
        <v>317</v>
      </c>
      <c r="D14" s="30" t="s">
        <v>318</v>
      </c>
      <c r="E14" s="30" t="s">
        <v>319</v>
      </c>
      <c r="F14" s="36" t="s">
        <v>101</v>
      </c>
      <c r="G14" s="32" t="s">
        <v>13</v>
      </c>
      <c r="H14" s="32" t="s">
        <v>13</v>
      </c>
      <c r="I14" s="33" t="s">
        <v>28</v>
      </c>
      <c r="J14" s="30" t="s">
        <v>13</v>
      </c>
      <c r="K14" s="30" t="s">
        <v>13</v>
      </c>
      <c r="L14" s="32" t="s">
        <v>13</v>
      </c>
    </row>
    <row r="15" ht="40" customHeight="1" spans="2:12" x14ac:dyDescent="0.25">
      <c r="B15" s="33" t="s">
        <v>320</v>
      </c>
      <c r="C15" s="20" t="s">
        <v>321</v>
      </c>
      <c r="D15" s="34" t="s">
        <v>322</v>
      </c>
      <c r="E15" s="34" t="s">
        <v>323</v>
      </c>
      <c r="F15" s="35" t="s">
        <v>76</v>
      </c>
      <c r="G15" s="32" t="s">
        <v>13</v>
      </c>
      <c r="H15" s="32" t="s">
        <v>13</v>
      </c>
      <c r="I15" s="33" t="s">
        <v>28</v>
      </c>
      <c r="J15" s="34" t="s">
        <v>13</v>
      </c>
      <c r="K15" s="34" t="s">
        <v>13</v>
      </c>
      <c r="L15" s="32" t="s">
        <v>13</v>
      </c>
    </row>
    <row r="17" ht="20" customHeight="1" spans="2:13" x14ac:dyDescent="0.25">
      <c r="B17" s="26" t="s">
        <v>110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</sheetData>
  <mergeCells count="2">
    <mergeCell ref="B2:M3"/>
    <mergeCell ref="B17:M17"/>
  </mergeCells>
  <dataValidations count="2">
    <dataValidation type="list" allowBlank="1" sqref="G6:G15">
      <formula1>"Critical,High,Medium,Low"</formula1>
    </dataValidation>
    <dataValidation type="list" allowBlank="1" sqref="J6:J15">
      <formula1>"PASS,FAIL,BLOCKED,NOT RUN,IN PROGRESS,N/A"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30" customWidth="1"/>
    <col min="4" max="4" width="44" customWidth="1"/>
    <col min="5" max="5" width="32" customWidth="1"/>
    <col min="6" max="6" width="10" customWidth="1"/>
    <col min="7" max="7" width="13" customWidth="1"/>
    <col min="8" max="8" width="14" customWidth="1"/>
    <col min="9" max="9" width="12" customWidth="1"/>
    <col min="10" max="10" width="22" customWidth="1"/>
    <col min="11" max="11" width="30" customWidth="1"/>
    <col min="12" max="12" width="12" customWidth="1"/>
  </cols>
  <sheetData>
    <row r="1" ht="8" customHeight="1" x14ac:dyDescent="0.25"/>
    <row r="2" ht="20" customHeight="1" spans="2:13" x14ac:dyDescent="0.25">
      <c r="B2" s="27" t="s">
        <v>324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ht="20" customHeight="1" spans="2:13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ht="30" customHeight="1" spans="2:13" x14ac:dyDescent="0.25">
      <c r="B5" s="19" t="s">
        <v>56</v>
      </c>
      <c r="C5" s="19" t="s">
        <v>57</v>
      </c>
      <c r="D5" s="19" t="s">
        <v>58</v>
      </c>
      <c r="E5" s="19" t="s">
        <v>59</v>
      </c>
      <c r="F5" s="19" t="s">
        <v>60</v>
      </c>
      <c r="G5" s="19" t="s">
        <v>61</v>
      </c>
      <c r="H5" s="19" t="s">
        <v>62</v>
      </c>
      <c r="I5" s="19" t="s">
        <v>42</v>
      </c>
      <c r="J5" s="19" t="s">
        <v>63</v>
      </c>
      <c r="K5" s="19" t="s">
        <v>64</v>
      </c>
      <c r="L5" s="19" t="s">
        <v>65</v>
      </c>
      <c r="M5" s="19" t="s">
        <v>66</v>
      </c>
    </row>
    <row r="6" ht="40" customHeight="1" spans="2:12" x14ac:dyDescent="0.25">
      <c r="B6" s="28" t="s">
        <v>325</v>
      </c>
      <c r="C6" s="29" t="s">
        <v>326</v>
      </c>
      <c r="D6" s="30" t="s">
        <v>327</v>
      </c>
      <c r="E6" s="30" t="s">
        <v>328</v>
      </c>
      <c r="F6" s="35" t="s">
        <v>76</v>
      </c>
      <c r="G6" s="32" t="s">
        <v>13</v>
      </c>
      <c r="H6" s="32" t="s">
        <v>13</v>
      </c>
      <c r="I6" s="33" t="s">
        <v>28</v>
      </c>
      <c r="J6" s="30" t="s">
        <v>13</v>
      </c>
      <c r="K6" s="30" t="s">
        <v>13</v>
      </c>
      <c r="L6" s="32" t="s">
        <v>13</v>
      </c>
    </row>
    <row r="7" ht="40" customHeight="1" spans="2:12" x14ac:dyDescent="0.25">
      <c r="B7" s="33" t="s">
        <v>329</v>
      </c>
      <c r="C7" s="20" t="s">
        <v>330</v>
      </c>
      <c r="D7" s="34" t="s">
        <v>331</v>
      </c>
      <c r="E7" s="34" t="s">
        <v>332</v>
      </c>
      <c r="F7" s="35" t="s">
        <v>76</v>
      </c>
      <c r="G7" s="32" t="s">
        <v>13</v>
      </c>
      <c r="H7" s="32" t="s">
        <v>13</v>
      </c>
      <c r="I7" s="33" t="s">
        <v>28</v>
      </c>
      <c r="J7" s="34" t="s">
        <v>13</v>
      </c>
      <c r="K7" s="34" t="s">
        <v>13</v>
      </c>
      <c r="L7" s="32" t="s">
        <v>13</v>
      </c>
    </row>
    <row r="8" ht="40" customHeight="1" spans="2:12" x14ac:dyDescent="0.25">
      <c r="B8" s="28" t="s">
        <v>333</v>
      </c>
      <c r="C8" s="29" t="s">
        <v>334</v>
      </c>
      <c r="D8" s="30" t="s">
        <v>335</v>
      </c>
      <c r="E8" s="30" t="s">
        <v>336</v>
      </c>
      <c r="F8" s="35" t="s">
        <v>76</v>
      </c>
      <c r="G8" s="32" t="s">
        <v>13</v>
      </c>
      <c r="H8" s="32" t="s">
        <v>13</v>
      </c>
      <c r="I8" s="33" t="s">
        <v>28</v>
      </c>
      <c r="J8" s="30" t="s">
        <v>13</v>
      </c>
      <c r="K8" s="30" t="s">
        <v>13</v>
      </c>
      <c r="L8" s="32" t="s">
        <v>13</v>
      </c>
    </row>
    <row r="9" ht="40" customHeight="1" spans="2:12" x14ac:dyDescent="0.25">
      <c r="B9" s="33" t="s">
        <v>337</v>
      </c>
      <c r="C9" s="20" t="s">
        <v>338</v>
      </c>
      <c r="D9" s="34" t="s">
        <v>339</v>
      </c>
      <c r="E9" s="34" t="s">
        <v>340</v>
      </c>
      <c r="F9" s="36" t="s">
        <v>101</v>
      </c>
      <c r="G9" s="32" t="s">
        <v>13</v>
      </c>
      <c r="H9" s="32" t="s">
        <v>13</v>
      </c>
      <c r="I9" s="33" t="s">
        <v>28</v>
      </c>
      <c r="J9" s="34" t="s">
        <v>13</v>
      </c>
      <c r="K9" s="34" t="s">
        <v>13</v>
      </c>
      <c r="L9" s="32" t="s">
        <v>13</v>
      </c>
    </row>
    <row r="10" ht="40" customHeight="1" spans="2:12" x14ac:dyDescent="0.25">
      <c r="B10" s="28" t="s">
        <v>341</v>
      </c>
      <c r="C10" s="29" t="s">
        <v>342</v>
      </c>
      <c r="D10" s="30" t="s">
        <v>343</v>
      </c>
      <c r="E10" s="30" t="s">
        <v>344</v>
      </c>
      <c r="F10" s="36" t="s">
        <v>101</v>
      </c>
      <c r="G10" s="32" t="s">
        <v>13</v>
      </c>
      <c r="H10" s="32" t="s">
        <v>13</v>
      </c>
      <c r="I10" s="33" t="s">
        <v>28</v>
      </c>
      <c r="J10" s="30" t="s">
        <v>13</v>
      </c>
      <c r="K10" s="30" t="s">
        <v>13</v>
      </c>
      <c r="L10" s="32" t="s">
        <v>13</v>
      </c>
    </row>
    <row r="11" ht="40" customHeight="1" spans="2:12" x14ac:dyDescent="0.25">
      <c r="B11" s="33" t="s">
        <v>345</v>
      </c>
      <c r="C11" s="20" t="s">
        <v>346</v>
      </c>
      <c r="D11" s="34" t="s">
        <v>347</v>
      </c>
      <c r="E11" s="34" t="s">
        <v>348</v>
      </c>
      <c r="F11" s="36" t="s">
        <v>101</v>
      </c>
      <c r="G11" s="32" t="s">
        <v>13</v>
      </c>
      <c r="H11" s="32" t="s">
        <v>13</v>
      </c>
      <c r="I11" s="33" t="s">
        <v>28</v>
      </c>
      <c r="J11" s="34" t="s">
        <v>13</v>
      </c>
      <c r="K11" s="34" t="s">
        <v>13</v>
      </c>
      <c r="L11" s="32" t="s">
        <v>13</v>
      </c>
    </row>
    <row r="12" ht="40" customHeight="1" spans="2:12" x14ac:dyDescent="0.25">
      <c r="B12" s="28" t="s">
        <v>349</v>
      </c>
      <c r="C12" s="29" t="s">
        <v>350</v>
      </c>
      <c r="D12" s="30" t="s">
        <v>351</v>
      </c>
      <c r="E12" s="30" t="s">
        <v>352</v>
      </c>
      <c r="F12" s="37" t="s">
        <v>353</v>
      </c>
      <c r="G12" s="32" t="s">
        <v>13</v>
      </c>
      <c r="H12" s="32" t="s">
        <v>13</v>
      </c>
      <c r="I12" s="33" t="s">
        <v>28</v>
      </c>
      <c r="J12" s="30" t="s">
        <v>13</v>
      </c>
      <c r="K12" s="30" t="s">
        <v>13</v>
      </c>
      <c r="L12" s="32" t="s">
        <v>13</v>
      </c>
    </row>
    <row r="13" ht="40" customHeight="1" spans="2:12" x14ac:dyDescent="0.25">
      <c r="B13" s="33" t="s">
        <v>354</v>
      </c>
      <c r="C13" s="20" t="s">
        <v>355</v>
      </c>
      <c r="D13" s="34" t="s">
        <v>356</v>
      </c>
      <c r="E13" s="34" t="s">
        <v>357</v>
      </c>
      <c r="F13" s="36" t="s">
        <v>101</v>
      </c>
      <c r="G13" s="32" t="s">
        <v>13</v>
      </c>
      <c r="H13" s="32" t="s">
        <v>13</v>
      </c>
      <c r="I13" s="33" t="s">
        <v>28</v>
      </c>
      <c r="J13" s="34" t="s">
        <v>13</v>
      </c>
      <c r="K13" s="34" t="s">
        <v>13</v>
      </c>
      <c r="L13" s="32" t="s">
        <v>13</v>
      </c>
    </row>
    <row r="15" ht="20" customHeight="1" spans="2:13" x14ac:dyDescent="0.25">
      <c r="B15" s="26" t="s">
        <v>110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</sheetData>
  <mergeCells count="2">
    <mergeCell ref="B2:M3"/>
    <mergeCell ref="B15:M15"/>
  </mergeCells>
  <dataValidations count="2">
    <dataValidation type="list" allowBlank="1" sqref="G6:G13">
      <formula1>"Critical,High,Medium,Low"</formula1>
    </dataValidation>
    <dataValidation type="list" allowBlank="1" sqref="J6:J13">
      <formula1>"PASS,FAIL,BLOCKED,NOT RUN,IN PROGRESS,N/A"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4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30" customWidth="1"/>
    <col min="4" max="4" width="44" customWidth="1"/>
    <col min="5" max="5" width="32" customWidth="1"/>
    <col min="6" max="6" width="10" customWidth="1"/>
    <col min="7" max="7" width="13" customWidth="1"/>
    <col min="8" max="8" width="14" customWidth="1"/>
    <col min="9" max="9" width="12" customWidth="1"/>
    <col min="10" max="10" width="22" customWidth="1"/>
    <col min="11" max="11" width="30" customWidth="1"/>
    <col min="12" max="12" width="12" customWidth="1"/>
  </cols>
  <sheetData>
    <row r="1" ht="8" customHeight="1" x14ac:dyDescent="0.25"/>
    <row r="2" ht="20" customHeight="1" spans="2:13" x14ac:dyDescent="0.25">
      <c r="B2" s="27" t="s">
        <v>358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ht="20" customHeight="1" spans="2:13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ht="30" customHeight="1" spans="2:13" x14ac:dyDescent="0.25">
      <c r="B5" s="19" t="s">
        <v>56</v>
      </c>
      <c r="C5" s="19" t="s">
        <v>57</v>
      </c>
      <c r="D5" s="19" t="s">
        <v>58</v>
      </c>
      <c r="E5" s="19" t="s">
        <v>59</v>
      </c>
      <c r="F5" s="19" t="s">
        <v>60</v>
      </c>
      <c r="G5" s="19" t="s">
        <v>61</v>
      </c>
      <c r="H5" s="19" t="s">
        <v>62</v>
      </c>
      <c r="I5" s="19" t="s">
        <v>42</v>
      </c>
      <c r="J5" s="19" t="s">
        <v>63</v>
      </c>
      <c r="K5" s="19" t="s">
        <v>64</v>
      </c>
      <c r="L5" s="19" t="s">
        <v>65</v>
      </c>
      <c r="M5" s="19" t="s">
        <v>66</v>
      </c>
    </row>
    <row r="6" ht="40" customHeight="1" spans="2:12" x14ac:dyDescent="0.25">
      <c r="B6" s="28" t="s">
        <v>359</v>
      </c>
      <c r="C6" s="29" t="s">
        <v>360</v>
      </c>
      <c r="D6" s="30" t="s">
        <v>361</v>
      </c>
      <c r="E6" s="30" t="s">
        <v>362</v>
      </c>
      <c r="F6" s="35" t="s">
        <v>76</v>
      </c>
      <c r="G6" s="32" t="s">
        <v>13</v>
      </c>
      <c r="H6" s="32" t="s">
        <v>13</v>
      </c>
      <c r="I6" s="33" t="s">
        <v>28</v>
      </c>
      <c r="J6" s="30" t="s">
        <v>13</v>
      </c>
      <c r="K6" s="30" t="s">
        <v>13</v>
      </c>
      <c r="L6" s="32" t="s">
        <v>13</v>
      </c>
    </row>
    <row r="7" ht="40" customHeight="1" spans="2:12" x14ac:dyDescent="0.25">
      <c r="B7" s="33" t="s">
        <v>363</v>
      </c>
      <c r="C7" s="20" t="s">
        <v>364</v>
      </c>
      <c r="D7" s="34" t="s">
        <v>365</v>
      </c>
      <c r="E7" s="34" t="s">
        <v>366</v>
      </c>
      <c r="F7" s="31" t="s">
        <v>71</v>
      </c>
      <c r="G7" s="32" t="s">
        <v>13</v>
      </c>
      <c r="H7" s="32" t="s">
        <v>13</v>
      </c>
      <c r="I7" s="33" t="s">
        <v>28</v>
      </c>
      <c r="J7" s="34" t="s">
        <v>13</v>
      </c>
      <c r="K7" s="34" t="s">
        <v>13</v>
      </c>
      <c r="L7" s="32" t="s">
        <v>13</v>
      </c>
    </row>
    <row r="8" ht="40" customHeight="1" spans="2:12" x14ac:dyDescent="0.25">
      <c r="B8" s="28" t="s">
        <v>367</v>
      </c>
      <c r="C8" s="29" t="s">
        <v>368</v>
      </c>
      <c r="D8" s="30" t="s">
        <v>369</v>
      </c>
      <c r="E8" s="30" t="s">
        <v>370</v>
      </c>
      <c r="F8" s="35" t="s">
        <v>76</v>
      </c>
      <c r="G8" s="32" t="s">
        <v>13</v>
      </c>
      <c r="H8" s="32" t="s">
        <v>13</v>
      </c>
      <c r="I8" s="33" t="s">
        <v>28</v>
      </c>
      <c r="J8" s="30" t="s">
        <v>13</v>
      </c>
      <c r="K8" s="30" t="s">
        <v>13</v>
      </c>
      <c r="L8" s="32" t="s">
        <v>13</v>
      </c>
    </row>
    <row r="9" ht="40" customHeight="1" spans="2:12" x14ac:dyDescent="0.25">
      <c r="B9" s="33" t="s">
        <v>371</v>
      </c>
      <c r="C9" s="20" t="s">
        <v>372</v>
      </c>
      <c r="D9" s="34" t="s">
        <v>373</v>
      </c>
      <c r="E9" s="34" t="s">
        <v>374</v>
      </c>
      <c r="F9" s="36" t="s">
        <v>101</v>
      </c>
      <c r="G9" s="32" t="s">
        <v>13</v>
      </c>
      <c r="H9" s="32" t="s">
        <v>13</v>
      </c>
      <c r="I9" s="33" t="s">
        <v>28</v>
      </c>
      <c r="J9" s="34" t="s">
        <v>13</v>
      </c>
      <c r="K9" s="34" t="s">
        <v>13</v>
      </c>
      <c r="L9" s="32" t="s">
        <v>13</v>
      </c>
    </row>
    <row r="10" ht="40" customHeight="1" spans="2:12" x14ac:dyDescent="0.25">
      <c r="B10" s="28" t="s">
        <v>375</v>
      </c>
      <c r="C10" s="29" t="s">
        <v>376</v>
      </c>
      <c r="D10" s="30" t="s">
        <v>377</v>
      </c>
      <c r="E10" s="30" t="s">
        <v>378</v>
      </c>
      <c r="F10" s="36" t="s">
        <v>101</v>
      </c>
      <c r="G10" s="32" t="s">
        <v>13</v>
      </c>
      <c r="H10" s="32" t="s">
        <v>13</v>
      </c>
      <c r="I10" s="33" t="s">
        <v>28</v>
      </c>
      <c r="J10" s="30" t="s">
        <v>13</v>
      </c>
      <c r="K10" s="30" t="s">
        <v>13</v>
      </c>
      <c r="L10" s="32" t="s">
        <v>13</v>
      </c>
    </row>
    <row r="11" ht="40" customHeight="1" spans="2:12" x14ac:dyDescent="0.25">
      <c r="B11" s="33" t="s">
        <v>379</v>
      </c>
      <c r="C11" s="20" t="s">
        <v>380</v>
      </c>
      <c r="D11" s="34" t="s">
        <v>381</v>
      </c>
      <c r="E11" s="34" t="s">
        <v>382</v>
      </c>
      <c r="F11" s="35" t="s">
        <v>76</v>
      </c>
      <c r="G11" s="32" t="s">
        <v>13</v>
      </c>
      <c r="H11" s="32" t="s">
        <v>13</v>
      </c>
      <c r="I11" s="33" t="s">
        <v>28</v>
      </c>
      <c r="J11" s="34" t="s">
        <v>13</v>
      </c>
      <c r="K11" s="34" t="s">
        <v>13</v>
      </c>
      <c r="L11" s="32" t="s">
        <v>13</v>
      </c>
    </row>
    <row r="12" ht="40" customHeight="1" spans="2:12" x14ac:dyDescent="0.25">
      <c r="B12" s="28" t="s">
        <v>383</v>
      </c>
      <c r="C12" s="29" t="s">
        <v>384</v>
      </c>
      <c r="D12" s="30" t="s">
        <v>385</v>
      </c>
      <c r="E12" s="30" t="s">
        <v>386</v>
      </c>
      <c r="F12" s="35" t="s">
        <v>76</v>
      </c>
      <c r="G12" s="32" t="s">
        <v>13</v>
      </c>
      <c r="H12" s="32" t="s">
        <v>13</v>
      </c>
      <c r="I12" s="33" t="s">
        <v>28</v>
      </c>
      <c r="J12" s="30" t="s">
        <v>13</v>
      </c>
      <c r="K12" s="30" t="s">
        <v>13</v>
      </c>
      <c r="L12" s="32" t="s">
        <v>13</v>
      </c>
    </row>
    <row r="14" ht="20" customHeight="1" spans="2:13" x14ac:dyDescent="0.25">
      <c r="B14" s="26" t="s">
        <v>110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</sheetData>
  <mergeCells count="2">
    <mergeCell ref="B2:M3"/>
    <mergeCell ref="B14:M14"/>
  </mergeCells>
  <dataValidations count="2">
    <dataValidation type="list" allowBlank="1" sqref="G6:G12">
      <formula1>"Critical,High,Medium,Low"</formula1>
    </dataValidation>
    <dataValidation type="list" allowBlank="1" sqref="J6:J12">
      <formula1>"PASS,FAIL,BLOCKED,NOT RUN,IN PROGRESS,N/A"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30" customWidth="1"/>
    <col min="4" max="4" width="44" customWidth="1"/>
    <col min="5" max="5" width="32" customWidth="1"/>
    <col min="6" max="6" width="10" customWidth="1"/>
    <col min="7" max="7" width="13" customWidth="1"/>
    <col min="8" max="8" width="14" customWidth="1"/>
    <col min="9" max="9" width="12" customWidth="1"/>
    <col min="10" max="10" width="22" customWidth="1"/>
    <col min="11" max="11" width="30" customWidth="1"/>
    <col min="12" max="12" width="12" customWidth="1"/>
  </cols>
  <sheetData>
    <row r="1" ht="8" customHeight="1" x14ac:dyDescent="0.25"/>
    <row r="2" ht="20" customHeight="1" spans="2:13" x14ac:dyDescent="0.25">
      <c r="B2" s="27" t="s">
        <v>387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ht="20" customHeight="1" spans="2:13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ht="30" customHeight="1" spans="2:13" x14ac:dyDescent="0.25">
      <c r="B5" s="19" t="s">
        <v>56</v>
      </c>
      <c r="C5" s="19" t="s">
        <v>57</v>
      </c>
      <c r="D5" s="19" t="s">
        <v>58</v>
      </c>
      <c r="E5" s="19" t="s">
        <v>59</v>
      </c>
      <c r="F5" s="19" t="s">
        <v>60</v>
      </c>
      <c r="G5" s="19" t="s">
        <v>61</v>
      </c>
      <c r="H5" s="19" t="s">
        <v>62</v>
      </c>
      <c r="I5" s="19" t="s">
        <v>42</v>
      </c>
      <c r="J5" s="19" t="s">
        <v>63</v>
      </c>
      <c r="K5" s="19" t="s">
        <v>64</v>
      </c>
      <c r="L5" s="19" t="s">
        <v>65</v>
      </c>
      <c r="M5" s="19" t="s">
        <v>66</v>
      </c>
    </row>
    <row r="6" ht="40" customHeight="1" spans="2:12" x14ac:dyDescent="0.25">
      <c r="B6" s="28" t="s">
        <v>388</v>
      </c>
      <c r="C6" s="29" t="s">
        <v>389</v>
      </c>
      <c r="D6" s="30" t="s">
        <v>390</v>
      </c>
      <c r="E6" s="30" t="s">
        <v>391</v>
      </c>
      <c r="F6" s="35" t="s">
        <v>76</v>
      </c>
      <c r="G6" s="32" t="s">
        <v>13</v>
      </c>
      <c r="H6" s="32" t="s">
        <v>13</v>
      </c>
      <c r="I6" s="33" t="s">
        <v>28</v>
      </c>
      <c r="J6" s="30" t="s">
        <v>13</v>
      </c>
      <c r="K6" s="30" t="s">
        <v>13</v>
      </c>
      <c r="L6" s="32" t="s">
        <v>13</v>
      </c>
    </row>
    <row r="7" ht="40" customHeight="1" spans="2:12" x14ac:dyDescent="0.25">
      <c r="B7" s="33" t="s">
        <v>392</v>
      </c>
      <c r="C7" s="20" t="s">
        <v>393</v>
      </c>
      <c r="D7" s="34" t="s">
        <v>394</v>
      </c>
      <c r="E7" s="34" t="s">
        <v>395</v>
      </c>
      <c r="F7" s="35" t="s">
        <v>76</v>
      </c>
      <c r="G7" s="32" t="s">
        <v>13</v>
      </c>
      <c r="H7" s="32" t="s">
        <v>13</v>
      </c>
      <c r="I7" s="33" t="s">
        <v>28</v>
      </c>
      <c r="J7" s="34" t="s">
        <v>13</v>
      </c>
      <c r="K7" s="34" t="s">
        <v>13</v>
      </c>
      <c r="L7" s="32" t="s">
        <v>13</v>
      </c>
    </row>
    <row r="8" ht="40" customHeight="1" spans="2:12" x14ac:dyDescent="0.25">
      <c r="B8" s="28" t="s">
        <v>396</v>
      </c>
      <c r="C8" s="29" t="s">
        <v>397</v>
      </c>
      <c r="D8" s="30" t="s">
        <v>398</v>
      </c>
      <c r="E8" s="30" t="s">
        <v>399</v>
      </c>
      <c r="F8" s="35" t="s">
        <v>76</v>
      </c>
      <c r="G8" s="32" t="s">
        <v>13</v>
      </c>
      <c r="H8" s="32" t="s">
        <v>13</v>
      </c>
      <c r="I8" s="33" t="s">
        <v>28</v>
      </c>
      <c r="J8" s="30" t="s">
        <v>13</v>
      </c>
      <c r="K8" s="30" t="s">
        <v>13</v>
      </c>
      <c r="L8" s="32" t="s">
        <v>13</v>
      </c>
    </row>
    <row r="9" ht="40" customHeight="1" spans="2:12" x14ac:dyDescent="0.25">
      <c r="B9" s="33" t="s">
        <v>400</v>
      </c>
      <c r="C9" s="20" t="s">
        <v>401</v>
      </c>
      <c r="D9" s="34" t="s">
        <v>402</v>
      </c>
      <c r="E9" s="34" t="s">
        <v>403</v>
      </c>
      <c r="F9" s="35" t="s">
        <v>76</v>
      </c>
      <c r="G9" s="32" t="s">
        <v>13</v>
      </c>
      <c r="H9" s="32" t="s">
        <v>13</v>
      </c>
      <c r="I9" s="33" t="s">
        <v>28</v>
      </c>
      <c r="J9" s="34" t="s">
        <v>13</v>
      </c>
      <c r="K9" s="34" t="s">
        <v>13</v>
      </c>
      <c r="L9" s="32" t="s">
        <v>13</v>
      </c>
    </row>
    <row r="10" ht="40" customHeight="1" spans="2:12" x14ac:dyDescent="0.25">
      <c r="B10" s="28" t="s">
        <v>404</v>
      </c>
      <c r="C10" s="29" t="s">
        <v>405</v>
      </c>
      <c r="D10" s="30" t="s">
        <v>406</v>
      </c>
      <c r="E10" s="30" t="s">
        <v>407</v>
      </c>
      <c r="F10" s="36" t="s">
        <v>101</v>
      </c>
      <c r="G10" s="32" t="s">
        <v>13</v>
      </c>
      <c r="H10" s="32" t="s">
        <v>13</v>
      </c>
      <c r="I10" s="33" t="s">
        <v>28</v>
      </c>
      <c r="J10" s="30" t="s">
        <v>13</v>
      </c>
      <c r="K10" s="30" t="s">
        <v>13</v>
      </c>
      <c r="L10" s="32" t="s">
        <v>13</v>
      </c>
    </row>
    <row r="11" ht="40" customHeight="1" spans="2:12" x14ac:dyDescent="0.25">
      <c r="B11" s="33" t="s">
        <v>408</v>
      </c>
      <c r="C11" s="20" t="s">
        <v>409</v>
      </c>
      <c r="D11" s="34" t="s">
        <v>410</v>
      </c>
      <c r="E11" s="34" t="s">
        <v>411</v>
      </c>
      <c r="F11" s="35" t="s">
        <v>76</v>
      </c>
      <c r="G11" s="32" t="s">
        <v>13</v>
      </c>
      <c r="H11" s="32" t="s">
        <v>13</v>
      </c>
      <c r="I11" s="33" t="s">
        <v>28</v>
      </c>
      <c r="J11" s="34" t="s">
        <v>13</v>
      </c>
      <c r="K11" s="34" t="s">
        <v>13</v>
      </c>
      <c r="L11" s="32" t="s">
        <v>13</v>
      </c>
    </row>
    <row r="12" ht="40" customHeight="1" spans="2:12" x14ac:dyDescent="0.25">
      <c r="B12" s="28" t="s">
        <v>412</v>
      </c>
      <c r="C12" s="29" t="s">
        <v>413</v>
      </c>
      <c r="D12" s="30" t="s">
        <v>414</v>
      </c>
      <c r="E12" s="30" t="s">
        <v>415</v>
      </c>
      <c r="F12" s="36" t="s">
        <v>101</v>
      </c>
      <c r="G12" s="32" t="s">
        <v>13</v>
      </c>
      <c r="H12" s="32" t="s">
        <v>13</v>
      </c>
      <c r="I12" s="33" t="s">
        <v>28</v>
      </c>
      <c r="J12" s="30" t="s">
        <v>13</v>
      </c>
      <c r="K12" s="30" t="s">
        <v>13</v>
      </c>
      <c r="L12" s="32" t="s">
        <v>13</v>
      </c>
    </row>
    <row r="13" ht="40" customHeight="1" spans="2:12" x14ac:dyDescent="0.25">
      <c r="B13" s="33" t="s">
        <v>416</v>
      </c>
      <c r="C13" s="20" t="s">
        <v>417</v>
      </c>
      <c r="D13" s="34" t="s">
        <v>418</v>
      </c>
      <c r="E13" s="34" t="s">
        <v>419</v>
      </c>
      <c r="F13" s="37" t="s">
        <v>353</v>
      </c>
      <c r="G13" s="32" t="s">
        <v>13</v>
      </c>
      <c r="H13" s="32" t="s">
        <v>13</v>
      </c>
      <c r="I13" s="33" t="s">
        <v>28</v>
      </c>
      <c r="J13" s="34" t="s">
        <v>13</v>
      </c>
      <c r="K13" s="34" t="s">
        <v>13</v>
      </c>
      <c r="L13" s="32" t="s">
        <v>13</v>
      </c>
    </row>
    <row r="15" ht="20" customHeight="1" spans="2:13" x14ac:dyDescent="0.25">
      <c r="B15" s="26" t="s">
        <v>110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</sheetData>
  <mergeCells count="2">
    <mergeCell ref="B2:M3"/>
    <mergeCell ref="B15:M15"/>
  </mergeCells>
  <dataValidations count="2">
    <dataValidation type="list" allowBlank="1" sqref="G6:G13">
      <formula1>"Critical,High,Medium,Low"</formula1>
    </dataValidation>
    <dataValidation type="list" allowBlank="1" sqref="J6:J13">
      <formula1>"PASS,FAIL,BLOCKED,NOT RUN,IN PROGRESS,N/A"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30" customWidth="1"/>
    <col min="4" max="4" width="44" customWidth="1"/>
    <col min="5" max="5" width="32" customWidth="1"/>
    <col min="6" max="6" width="10" customWidth="1"/>
    <col min="7" max="7" width="13" customWidth="1"/>
    <col min="8" max="8" width="14" customWidth="1"/>
    <col min="9" max="9" width="12" customWidth="1"/>
    <col min="10" max="10" width="22" customWidth="1"/>
    <col min="11" max="11" width="30" customWidth="1"/>
    <col min="12" max="12" width="12" customWidth="1"/>
  </cols>
  <sheetData>
    <row r="1" ht="8" customHeight="1" x14ac:dyDescent="0.25"/>
    <row r="2" ht="20" customHeight="1" spans="2:13" x14ac:dyDescent="0.25">
      <c r="B2" s="27" t="s">
        <v>420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ht="20" customHeight="1" spans="2:13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ht="30" customHeight="1" spans="2:13" x14ac:dyDescent="0.25">
      <c r="B5" s="19" t="s">
        <v>56</v>
      </c>
      <c r="C5" s="19" t="s">
        <v>57</v>
      </c>
      <c r="D5" s="19" t="s">
        <v>58</v>
      </c>
      <c r="E5" s="19" t="s">
        <v>59</v>
      </c>
      <c r="F5" s="19" t="s">
        <v>60</v>
      </c>
      <c r="G5" s="19" t="s">
        <v>61</v>
      </c>
      <c r="H5" s="19" t="s">
        <v>62</v>
      </c>
      <c r="I5" s="19" t="s">
        <v>42</v>
      </c>
      <c r="J5" s="19" t="s">
        <v>63</v>
      </c>
      <c r="K5" s="19" t="s">
        <v>64</v>
      </c>
      <c r="L5" s="19" t="s">
        <v>65</v>
      </c>
      <c r="M5" s="19" t="s">
        <v>66</v>
      </c>
    </row>
    <row r="6" ht="40" customHeight="1" spans="2:12" x14ac:dyDescent="0.25">
      <c r="B6" s="28" t="s">
        <v>421</v>
      </c>
      <c r="C6" s="29" t="s">
        <v>422</v>
      </c>
      <c r="D6" s="30" t="s">
        <v>423</v>
      </c>
      <c r="E6" s="30" t="s">
        <v>424</v>
      </c>
      <c r="F6" s="31" t="s">
        <v>71</v>
      </c>
      <c r="G6" s="32" t="s">
        <v>13</v>
      </c>
      <c r="H6" s="32" t="s">
        <v>13</v>
      </c>
      <c r="I6" s="33" t="s">
        <v>28</v>
      </c>
      <c r="J6" s="30" t="s">
        <v>13</v>
      </c>
      <c r="K6" s="30" t="s">
        <v>13</v>
      </c>
      <c r="L6" s="32" t="s">
        <v>13</v>
      </c>
    </row>
    <row r="7" ht="40" customHeight="1" spans="2:12" x14ac:dyDescent="0.25">
      <c r="B7" s="33" t="s">
        <v>425</v>
      </c>
      <c r="C7" s="20" t="s">
        <v>426</v>
      </c>
      <c r="D7" s="34" t="s">
        <v>427</v>
      </c>
      <c r="E7" s="34" t="s">
        <v>428</v>
      </c>
      <c r="F7" s="31" t="s">
        <v>71</v>
      </c>
      <c r="G7" s="32" t="s">
        <v>13</v>
      </c>
      <c r="H7" s="32" t="s">
        <v>13</v>
      </c>
      <c r="I7" s="33" t="s">
        <v>28</v>
      </c>
      <c r="J7" s="34" t="s">
        <v>13</v>
      </c>
      <c r="K7" s="34" t="s">
        <v>13</v>
      </c>
      <c r="L7" s="32" t="s">
        <v>13</v>
      </c>
    </row>
    <row r="8" ht="40" customHeight="1" spans="2:12" x14ac:dyDescent="0.25">
      <c r="B8" s="28" t="s">
        <v>429</v>
      </c>
      <c r="C8" s="29" t="s">
        <v>430</v>
      </c>
      <c r="D8" s="30" t="s">
        <v>431</v>
      </c>
      <c r="E8" s="30" t="s">
        <v>432</v>
      </c>
      <c r="F8" s="31" t="s">
        <v>71</v>
      </c>
      <c r="G8" s="32" t="s">
        <v>13</v>
      </c>
      <c r="H8" s="32" t="s">
        <v>13</v>
      </c>
      <c r="I8" s="33" t="s">
        <v>28</v>
      </c>
      <c r="J8" s="30" t="s">
        <v>13</v>
      </c>
      <c r="K8" s="30" t="s">
        <v>13</v>
      </c>
      <c r="L8" s="32" t="s">
        <v>13</v>
      </c>
    </row>
    <row r="9" ht="40" customHeight="1" spans="2:12" x14ac:dyDescent="0.25">
      <c r="B9" s="33" t="s">
        <v>433</v>
      </c>
      <c r="C9" s="20" t="s">
        <v>434</v>
      </c>
      <c r="D9" s="34" t="s">
        <v>435</v>
      </c>
      <c r="E9" s="34" t="s">
        <v>436</v>
      </c>
      <c r="F9" s="35" t="s">
        <v>76</v>
      </c>
      <c r="G9" s="32" t="s">
        <v>13</v>
      </c>
      <c r="H9" s="32" t="s">
        <v>13</v>
      </c>
      <c r="I9" s="33" t="s">
        <v>28</v>
      </c>
      <c r="J9" s="34" t="s">
        <v>13</v>
      </c>
      <c r="K9" s="34" t="s">
        <v>13</v>
      </c>
      <c r="L9" s="32" t="s">
        <v>13</v>
      </c>
    </row>
    <row r="10" ht="40" customHeight="1" spans="2:12" x14ac:dyDescent="0.25">
      <c r="B10" s="28" t="s">
        <v>437</v>
      </c>
      <c r="C10" s="29" t="s">
        <v>438</v>
      </c>
      <c r="D10" s="30" t="s">
        <v>439</v>
      </c>
      <c r="E10" s="30" t="s">
        <v>440</v>
      </c>
      <c r="F10" s="35" t="s">
        <v>76</v>
      </c>
      <c r="G10" s="32" t="s">
        <v>13</v>
      </c>
      <c r="H10" s="32" t="s">
        <v>13</v>
      </c>
      <c r="I10" s="33" t="s">
        <v>28</v>
      </c>
      <c r="J10" s="30" t="s">
        <v>13</v>
      </c>
      <c r="K10" s="30" t="s">
        <v>13</v>
      </c>
      <c r="L10" s="32" t="s">
        <v>13</v>
      </c>
    </row>
    <row r="11" ht="40" customHeight="1" spans="2:12" x14ac:dyDescent="0.25">
      <c r="B11" s="33" t="s">
        <v>441</v>
      </c>
      <c r="C11" s="20" t="s">
        <v>442</v>
      </c>
      <c r="D11" s="34" t="s">
        <v>443</v>
      </c>
      <c r="E11" s="34" t="s">
        <v>444</v>
      </c>
      <c r="F11" s="35" t="s">
        <v>76</v>
      </c>
      <c r="G11" s="32" t="s">
        <v>13</v>
      </c>
      <c r="H11" s="32" t="s">
        <v>13</v>
      </c>
      <c r="I11" s="33" t="s">
        <v>28</v>
      </c>
      <c r="J11" s="34" t="s">
        <v>13</v>
      </c>
      <c r="K11" s="34" t="s">
        <v>13</v>
      </c>
      <c r="L11" s="32" t="s">
        <v>13</v>
      </c>
    </row>
    <row r="12" ht="40" customHeight="1" spans="2:12" x14ac:dyDescent="0.25">
      <c r="B12" s="28" t="s">
        <v>445</v>
      </c>
      <c r="C12" s="29" t="s">
        <v>446</v>
      </c>
      <c r="D12" s="30" t="s">
        <v>447</v>
      </c>
      <c r="E12" s="30" t="s">
        <v>448</v>
      </c>
      <c r="F12" s="36" t="s">
        <v>101</v>
      </c>
      <c r="G12" s="32" t="s">
        <v>13</v>
      </c>
      <c r="H12" s="32" t="s">
        <v>13</v>
      </c>
      <c r="I12" s="33" t="s">
        <v>28</v>
      </c>
      <c r="J12" s="30" t="s">
        <v>13</v>
      </c>
      <c r="K12" s="30" t="s">
        <v>13</v>
      </c>
      <c r="L12" s="32" t="s">
        <v>13</v>
      </c>
    </row>
    <row r="13" ht="40" customHeight="1" spans="2:12" x14ac:dyDescent="0.25">
      <c r="B13" s="33" t="s">
        <v>449</v>
      </c>
      <c r="C13" s="20" t="s">
        <v>450</v>
      </c>
      <c r="D13" s="34" t="s">
        <v>451</v>
      </c>
      <c r="E13" s="34" t="s">
        <v>452</v>
      </c>
      <c r="F13" s="36" t="s">
        <v>101</v>
      </c>
      <c r="G13" s="32" t="s">
        <v>13</v>
      </c>
      <c r="H13" s="32" t="s">
        <v>13</v>
      </c>
      <c r="I13" s="33" t="s">
        <v>28</v>
      </c>
      <c r="J13" s="34" t="s">
        <v>13</v>
      </c>
      <c r="K13" s="34" t="s">
        <v>13</v>
      </c>
      <c r="L13" s="32" t="s">
        <v>13</v>
      </c>
    </row>
    <row r="14" ht="40" customHeight="1" spans="2:12" x14ac:dyDescent="0.25">
      <c r="B14" s="28" t="s">
        <v>453</v>
      </c>
      <c r="C14" s="29" t="s">
        <v>454</v>
      </c>
      <c r="D14" s="30" t="s">
        <v>455</v>
      </c>
      <c r="E14" s="30" t="s">
        <v>456</v>
      </c>
      <c r="F14" s="36" t="s">
        <v>101</v>
      </c>
      <c r="G14" s="32" t="s">
        <v>13</v>
      </c>
      <c r="H14" s="32" t="s">
        <v>13</v>
      </c>
      <c r="I14" s="33" t="s">
        <v>28</v>
      </c>
      <c r="J14" s="30" t="s">
        <v>13</v>
      </c>
      <c r="K14" s="30" t="s">
        <v>13</v>
      </c>
      <c r="L14" s="32" t="s">
        <v>13</v>
      </c>
    </row>
    <row r="15" ht="40" customHeight="1" spans="2:12" x14ac:dyDescent="0.25">
      <c r="B15" s="33" t="s">
        <v>457</v>
      </c>
      <c r="C15" s="20" t="s">
        <v>458</v>
      </c>
      <c r="D15" s="34" t="s">
        <v>459</v>
      </c>
      <c r="E15" s="34" t="s">
        <v>460</v>
      </c>
      <c r="F15" s="36" t="s">
        <v>101</v>
      </c>
      <c r="G15" s="32" t="s">
        <v>13</v>
      </c>
      <c r="H15" s="32" t="s">
        <v>13</v>
      </c>
      <c r="I15" s="33" t="s">
        <v>28</v>
      </c>
      <c r="J15" s="34" t="s">
        <v>13</v>
      </c>
      <c r="K15" s="34" t="s">
        <v>13</v>
      </c>
      <c r="L15" s="32" t="s">
        <v>13</v>
      </c>
    </row>
    <row r="17" ht="20" customHeight="1" spans="2:13" x14ac:dyDescent="0.25">
      <c r="B17" s="26" t="s">
        <v>110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</sheetData>
  <mergeCells count="2">
    <mergeCell ref="B2:M3"/>
    <mergeCell ref="B17:M17"/>
  </mergeCells>
  <dataValidations count="2">
    <dataValidation type="list" allowBlank="1" sqref="G6:G15">
      <formula1>"Critical,High,Medium,Low"</formula1>
    </dataValidation>
    <dataValidation type="list" allowBlank="1" sqref="J6:J15">
      <formula1>"PASS,FAIL,BLOCKED,NOT RUN,IN PROGRESS,N/A"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3" width="12" customWidth="1"/>
    <col min="4" max="4" width="10" customWidth="1"/>
    <col min="5" max="5" width="30" customWidth="1"/>
    <col min="6" max="8" width="18" customWidth="1"/>
    <col min="9" max="9" width="12" customWidth="1"/>
    <col min="10" max="10" width="14" customWidth="1"/>
    <col min="11" max="11" width="12" customWidth="1"/>
    <col min="12" max="12" width="28" customWidth="1"/>
    <col min="13" max="13" width="14" customWidth="1"/>
  </cols>
  <sheetData>
    <row r="1" ht="8" customHeight="1" x14ac:dyDescent="0.25"/>
    <row r="2" ht="20" customHeight="1" spans="2:13" x14ac:dyDescent="0.25">
      <c r="B2" s="18" t="s">
        <v>461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ht="20" customHeight="1" spans="2:13" x14ac:dyDescent="0.25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5" ht="28" customHeight="1" spans="2:13" x14ac:dyDescent="0.25">
      <c r="B5" s="19" t="s">
        <v>64</v>
      </c>
      <c r="C5" s="19" t="s">
        <v>462</v>
      </c>
      <c r="D5" s="19" t="s">
        <v>463</v>
      </c>
      <c r="E5" s="19" t="s">
        <v>464</v>
      </c>
      <c r="F5" s="19" t="s">
        <v>465</v>
      </c>
      <c r="G5" s="19" t="s">
        <v>466</v>
      </c>
      <c r="H5" s="19" t="s">
        <v>467</v>
      </c>
      <c r="I5" s="19" t="s">
        <v>468</v>
      </c>
      <c r="J5" s="19" t="s">
        <v>469</v>
      </c>
      <c r="K5" s="19" t="s">
        <v>42</v>
      </c>
      <c r="L5" s="19" t="s">
        <v>470</v>
      </c>
      <c r="M5" s="19" t="s">
        <v>471</v>
      </c>
    </row>
    <row r="6" ht="20" customHeight="1" spans="2:13" x14ac:dyDescent="0.25">
      <c r="B6" s="32" t="s">
        <v>13</v>
      </c>
      <c r="C6" s="32" t="s">
        <v>13</v>
      </c>
      <c r="D6" s="32" t="s">
        <v>13</v>
      </c>
      <c r="E6" s="30" t="s">
        <v>13</v>
      </c>
      <c r="F6" s="30" t="s">
        <v>13</v>
      </c>
      <c r="G6" s="30" t="s">
        <v>13</v>
      </c>
      <c r="H6" s="30" t="s">
        <v>13</v>
      </c>
      <c r="I6" s="32" t="s">
        <v>13</v>
      </c>
      <c r="J6" s="32" t="s">
        <v>13</v>
      </c>
      <c r="K6" s="32" t="s">
        <v>13</v>
      </c>
      <c r="L6" s="30" t="s">
        <v>13</v>
      </c>
      <c r="M6" s="30" t="s">
        <v>13</v>
      </c>
    </row>
    <row r="7" ht="20" customHeight="1" spans="2:13" x14ac:dyDescent="0.25">
      <c r="B7" s="32" t="s">
        <v>13</v>
      </c>
      <c r="C7" s="32" t="s">
        <v>13</v>
      </c>
      <c r="D7" s="32" t="s">
        <v>13</v>
      </c>
      <c r="E7" s="34" t="s">
        <v>13</v>
      </c>
      <c r="F7" s="34" t="s">
        <v>13</v>
      </c>
      <c r="G7" s="34" t="s">
        <v>13</v>
      </c>
      <c r="H7" s="34" t="s">
        <v>13</v>
      </c>
      <c r="I7" s="32" t="s">
        <v>13</v>
      </c>
      <c r="J7" s="32" t="s">
        <v>13</v>
      </c>
      <c r="K7" s="32" t="s">
        <v>13</v>
      </c>
      <c r="L7" s="34" t="s">
        <v>13</v>
      </c>
      <c r="M7" s="34" t="s">
        <v>13</v>
      </c>
    </row>
    <row r="8" ht="20" customHeight="1" spans="2:13" x14ac:dyDescent="0.25">
      <c r="B8" s="32" t="s">
        <v>13</v>
      </c>
      <c r="C8" s="32" t="s">
        <v>13</v>
      </c>
      <c r="D8" s="32" t="s">
        <v>13</v>
      </c>
      <c r="E8" s="30" t="s">
        <v>13</v>
      </c>
      <c r="F8" s="30" t="s">
        <v>13</v>
      </c>
      <c r="G8" s="30" t="s">
        <v>13</v>
      </c>
      <c r="H8" s="30" t="s">
        <v>13</v>
      </c>
      <c r="I8" s="32" t="s">
        <v>13</v>
      </c>
      <c r="J8" s="32" t="s">
        <v>13</v>
      </c>
      <c r="K8" s="32" t="s">
        <v>13</v>
      </c>
      <c r="L8" s="30" t="s">
        <v>13</v>
      </c>
      <c r="M8" s="30" t="s">
        <v>13</v>
      </c>
    </row>
    <row r="9" ht="20" customHeight="1" spans="2:13" x14ac:dyDescent="0.25">
      <c r="B9" s="32" t="s">
        <v>13</v>
      </c>
      <c r="C9" s="32" t="s">
        <v>13</v>
      </c>
      <c r="D9" s="32" t="s">
        <v>13</v>
      </c>
      <c r="E9" s="34" t="s">
        <v>13</v>
      </c>
      <c r="F9" s="34" t="s">
        <v>13</v>
      </c>
      <c r="G9" s="34" t="s">
        <v>13</v>
      </c>
      <c r="H9" s="34" t="s">
        <v>13</v>
      </c>
      <c r="I9" s="32" t="s">
        <v>13</v>
      </c>
      <c r="J9" s="32" t="s">
        <v>13</v>
      </c>
      <c r="K9" s="32" t="s">
        <v>13</v>
      </c>
      <c r="L9" s="34" t="s">
        <v>13</v>
      </c>
      <c r="M9" s="34" t="s">
        <v>13</v>
      </c>
    </row>
    <row r="10" ht="20" customHeight="1" spans="2:13" x14ac:dyDescent="0.25">
      <c r="B10" s="32" t="s">
        <v>13</v>
      </c>
      <c r="C10" s="32" t="s">
        <v>13</v>
      </c>
      <c r="D10" s="32" t="s">
        <v>13</v>
      </c>
      <c r="E10" s="30" t="s">
        <v>13</v>
      </c>
      <c r="F10" s="30" t="s">
        <v>13</v>
      </c>
      <c r="G10" s="30" t="s">
        <v>13</v>
      </c>
      <c r="H10" s="30" t="s">
        <v>13</v>
      </c>
      <c r="I10" s="32" t="s">
        <v>13</v>
      </c>
      <c r="J10" s="32" t="s">
        <v>13</v>
      </c>
      <c r="K10" s="32" t="s">
        <v>13</v>
      </c>
      <c r="L10" s="30" t="s">
        <v>13</v>
      </c>
      <c r="M10" s="30" t="s">
        <v>13</v>
      </c>
    </row>
    <row r="11" ht="20" customHeight="1" spans="2:13" x14ac:dyDescent="0.25">
      <c r="B11" s="32" t="s">
        <v>13</v>
      </c>
      <c r="C11" s="32" t="s">
        <v>13</v>
      </c>
      <c r="D11" s="32" t="s">
        <v>13</v>
      </c>
      <c r="E11" s="34" t="s">
        <v>13</v>
      </c>
      <c r="F11" s="34" t="s">
        <v>13</v>
      </c>
      <c r="G11" s="34" t="s">
        <v>13</v>
      </c>
      <c r="H11" s="34" t="s">
        <v>13</v>
      </c>
      <c r="I11" s="32" t="s">
        <v>13</v>
      </c>
      <c r="J11" s="32" t="s">
        <v>13</v>
      </c>
      <c r="K11" s="32" t="s">
        <v>13</v>
      </c>
      <c r="L11" s="34" t="s">
        <v>13</v>
      </c>
      <c r="M11" s="34" t="s">
        <v>13</v>
      </c>
    </row>
    <row r="12" ht="20" customHeight="1" spans="2:13" x14ac:dyDescent="0.25">
      <c r="B12" s="32" t="s">
        <v>13</v>
      </c>
      <c r="C12" s="32" t="s">
        <v>13</v>
      </c>
      <c r="D12" s="32" t="s">
        <v>13</v>
      </c>
      <c r="E12" s="30" t="s">
        <v>13</v>
      </c>
      <c r="F12" s="30" t="s">
        <v>13</v>
      </c>
      <c r="G12" s="30" t="s">
        <v>13</v>
      </c>
      <c r="H12" s="30" t="s">
        <v>13</v>
      </c>
      <c r="I12" s="32" t="s">
        <v>13</v>
      </c>
      <c r="J12" s="32" t="s">
        <v>13</v>
      </c>
      <c r="K12" s="32" t="s">
        <v>13</v>
      </c>
      <c r="L12" s="30" t="s">
        <v>13</v>
      </c>
      <c r="M12" s="30" t="s">
        <v>13</v>
      </c>
    </row>
    <row r="13" ht="20" customHeight="1" spans="2:13" x14ac:dyDescent="0.25">
      <c r="B13" s="32" t="s">
        <v>13</v>
      </c>
      <c r="C13" s="32" t="s">
        <v>13</v>
      </c>
      <c r="D13" s="32" t="s">
        <v>13</v>
      </c>
      <c r="E13" s="34" t="s">
        <v>13</v>
      </c>
      <c r="F13" s="34" t="s">
        <v>13</v>
      </c>
      <c r="G13" s="34" t="s">
        <v>13</v>
      </c>
      <c r="H13" s="34" t="s">
        <v>13</v>
      </c>
      <c r="I13" s="32" t="s">
        <v>13</v>
      </c>
      <c r="J13" s="32" t="s">
        <v>13</v>
      </c>
      <c r="K13" s="32" t="s">
        <v>13</v>
      </c>
      <c r="L13" s="34" t="s">
        <v>13</v>
      </c>
      <c r="M13" s="34" t="s">
        <v>13</v>
      </c>
    </row>
    <row r="14" ht="20" customHeight="1" spans="2:13" x14ac:dyDescent="0.25">
      <c r="B14" s="32" t="s">
        <v>13</v>
      </c>
      <c r="C14" s="32" t="s">
        <v>13</v>
      </c>
      <c r="D14" s="32" t="s">
        <v>13</v>
      </c>
      <c r="E14" s="30" t="s">
        <v>13</v>
      </c>
      <c r="F14" s="30" t="s">
        <v>13</v>
      </c>
      <c r="G14" s="30" t="s">
        <v>13</v>
      </c>
      <c r="H14" s="30" t="s">
        <v>13</v>
      </c>
      <c r="I14" s="32" t="s">
        <v>13</v>
      </c>
      <c r="J14" s="32" t="s">
        <v>13</v>
      </c>
      <c r="K14" s="32" t="s">
        <v>13</v>
      </c>
      <c r="L14" s="30" t="s">
        <v>13</v>
      </c>
      <c r="M14" s="30" t="s">
        <v>13</v>
      </c>
    </row>
    <row r="15" ht="20" customHeight="1" spans="2:13" x14ac:dyDescent="0.25">
      <c r="B15" s="32" t="s">
        <v>13</v>
      </c>
      <c r="C15" s="32" t="s">
        <v>13</v>
      </c>
      <c r="D15" s="32" t="s">
        <v>13</v>
      </c>
      <c r="E15" s="34" t="s">
        <v>13</v>
      </c>
      <c r="F15" s="34" t="s">
        <v>13</v>
      </c>
      <c r="G15" s="34" t="s">
        <v>13</v>
      </c>
      <c r="H15" s="34" t="s">
        <v>13</v>
      </c>
      <c r="I15" s="32" t="s">
        <v>13</v>
      </c>
      <c r="J15" s="32" t="s">
        <v>13</v>
      </c>
      <c r="K15" s="32" t="s">
        <v>13</v>
      </c>
      <c r="L15" s="34" t="s">
        <v>13</v>
      </c>
      <c r="M15" s="34" t="s">
        <v>13</v>
      </c>
    </row>
    <row r="16" ht="20" customHeight="1" spans="2:13" x14ac:dyDescent="0.25">
      <c r="B16" s="32" t="s">
        <v>13</v>
      </c>
      <c r="C16" s="32" t="s">
        <v>13</v>
      </c>
      <c r="D16" s="32" t="s">
        <v>13</v>
      </c>
      <c r="E16" s="30" t="s">
        <v>13</v>
      </c>
      <c r="F16" s="30" t="s">
        <v>13</v>
      </c>
      <c r="G16" s="30" t="s">
        <v>13</v>
      </c>
      <c r="H16" s="30" t="s">
        <v>13</v>
      </c>
      <c r="I16" s="32" t="s">
        <v>13</v>
      </c>
      <c r="J16" s="32" t="s">
        <v>13</v>
      </c>
      <c r="K16" s="32" t="s">
        <v>13</v>
      </c>
      <c r="L16" s="30" t="s">
        <v>13</v>
      </c>
      <c r="M16" s="30" t="s">
        <v>13</v>
      </c>
    </row>
    <row r="17" ht="20" customHeight="1" spans="2:13" x14ac:dyDescent="0.25">
      <c r="B17" s="32" t="s">
        <v>13</v>
      </c>
      <c r="C17" s="32" t="s">
        <v>13</v>
      </c>
      <c r="D17" s="32" t="s">
        <v>13</v>
      </c>
      <c r="E17" s="34" t="s">
        <v>13</v>
      </c>
      <c r="F17" s="34" t="s">
        <v>13</v>
      </c>
      <c r="G17" s="34" t="s">
        <v>13</v>
      </c>
      <c r="H17" s="34" t="s">
        <v>13</v>
      </c>
      <c r="I17" s="32" t="s">
        <v>13</v>
      </c>
      <c r="J17" s="32" t="s">
        <v>13</v>
      </c>
      <c r="K17" s="32" t="s">
        <v>13</v>
      </c>
      <c r="L17" s="34" t="s">
        <v>13</v>
      </c>
      <c r="M17" s="34" t="s">
        <v>13</v>
      </c>
    </row>
    <row r="18" ht="20" customHeight="1" spans="2:13" x14ac:dyDescent="0.25">
      <c r="B18" s="32" t="s">
        <v>13</v>
      </c>
      <c r="C18" s="32" t="s">
        <v>13</v>
      </c>
      <c r="D18" s="32" t="s">
        <v>13</v>
      </c>
      <c r="E18" s="30" t="s">
        <v>13</v>
      </c>
      <c r="F18" s="30" t="s">
        <v>13</v>
      </c>
      <c r="G18" s="30" t="s">
        <v>13</v>
      </c>
      <c r="H18" s="30" t="s">
        <v>13</v>
      </c>
      <c r="I18" s="32" t="s">
        <v>13</v>
      </c>
      <c r="J18" s="32" t="s">
        <v>13</v>
      </c>
      <c r="K18" s="32" t="s">
        <v>13</v>
      </c>
      <c r="L18" s="30" t="s">
        <v>13</v>
      </c>
      <c r="M18" s="30" t="s">
        <v>13</v>
      </c>
    </row>
    <row r="19" ht="20" customHeight="1" spans="2:13" x14ac:dyDescent="0.25">
      <c r="B19" s="32" t="s">
        <v>13</v>
      </c>
      <c r="C19" s="32" t="s">
        <v>13</v>
      </c>
      <c r="D19" s="32" t="s">
        <v>13</v>
      </c>
      <c r="E19" s="34" t="s">
        <v>13</v>
      </c>
      <c r="F19" s="34" t="s">
        <v>13</v>
      </c>
      <c r="G19" s="34" t="s">
        <v>13</v>
      </c>
      <c r="H19" s="34" t="s">
        <v>13</v>
      </c>
      <c r="I19" s="32" t="s">
        <v>13</v>
      </c>
      <c r="J19" s="32" t="s">
        <v>13</v>
      </c>
      <c r="K19" s="32" t="s">
        <v>13</v>
      </c>
      <c r="L19" s="34" t="s">
        <v>13</v>
      </c>
      <c r="M19" s="34" t="s">
        <v>13</v>
      </c>
    </row>
    <row r="20" ht="20" customHeight="1" spans="2:13" x14ac:dyDescent="0.25">
      <c r="B20" s="32" t="s">
        <v>13</v>
      </c>
      <c r="C20" s="32" t="s">
        <v>13</v>
      </c>
      <c r="D20" s="32" t="s">
        <v>13</v>
      </c>
      <c r="E20" s="30" t="s">
        <v>13</v>
      </c>
      <c r="F20" s="30" t="s">
        <v>13</v>
      </c>
      <c r="G20" s="30" t="s">
        <v>13</v>
      </c>
      <c r="H20" s="30" t="s">
        <v>13</v>
      </c>
      <c r="I20" s="32" t="s">
        <v>13</v>
      </c>
      <c r="J20" s="32" t="s">
        <v>13</v>
      </c>
      <c r="K20" s="32" t="s">
        <v>13</v>
      </c>
      <c r="L20" s="30" t="s">
        <v>13</v>
      </c>
      <c r="M20" s="30" t="s">
        <v>13</v>
      </c>
    </row>
    <row r="21" ht="20" customHeight="1" spans="2:13" x14ac:dyDescent="0.25">
      <c r="B21" s="32" t="s">
        <v>13</v>
      </c>
      <c r="C21" s="32" t="s">
        <v>13</v>
      </c>
      <c r="D21" s="32" t="s">
        <v>13</v>
      </c>
      <c r="E21" s="34" t="s">
        <v>13</v>
      </c>
      <c r="F21" s="34" t="s">
        <v>13</v>
      </c>
      <c r="G21" s="34" t="s">
        <v>13</v>
      </c>
      <c r="H21" s="34" t="s">
        <v>13</v>
      </c>
      <c r="I21" s="32" t="s">
        <v>13</v>
      </c>
      <c r="J21" s="32" t="s">
        <v>13</v>
      </c>
      <c r="K21" s="32" t="s">
        <v>13</v>
      </c>
      <c r="L21" s="34" t="s">
        <v>13</v>
      </c>
      <c r="M21" s="34" t="s">
        <v>13</v>
      </c>
    </row>
    <row r="22" ht="20" customHeight="1" spans="2:13" x14ac:dyDescent="0.25">
      <c r="B22" s="32" t="s">
        <v>13</v>
      </c>
      <c r="C22" s="32" t="s">
        <v>13</v>
      </c>
      <c r="D22" s="32" t="s">
        <v>13</v>
      </c>
      <c r="E22" s="30" t="s">
        <v>13</v>
      </c>
      <c r="F22" s="30" t="s">
        <v>13</v>
      </c>
      <c r="G22" s="30" t="s">
        <v>13</v>
      </c>
      <c r="H22" s="30" t="s">
        <v>13</v>
      </c>
      <c r="I22" s="32" t="s">
        <v>13</v>
      </c>
      <c r="J22" s="32" t="s">
        <v>13</v>
      </c>
      <c r="K22" s="32" t="s">
        <v>13</v>
      </c>
      <c r="L22" s="30" t="s">
        <v>13</v>
      </c>
      <c r="M22" s="30" t="s">
        <v>13</v>
      </c>
    </row>
    <row r="23" ht="20" customHeight="1" spans="2:13" x14ac:dyDescent="0.25">
      <c r="B23" s="32" t="s">
        <v>13</v>
      </c>
      <c r="C23" s="32" t="s">
        <v>13</v>
      </c>
      <c r="D23" s="32" t="s">
        <v>13</v>
      </c>
      <c r="E23" s="34" t="s">
        <v>13</v>
      </c>
      <c r="F23" s="34" t="s">
        <v>13</v>
      </c>
      <c r="G23" s="34" t="s">
        <v>13</v>
      </c>
      <c r="H23" s="34" t="s">
        <v>13</v>
      </c>
      <c r="I23" s="32" t="s">
        <v>13</v>
      </c>
      <c r="J23" s="32" t="s">
        <v>13</v>
      </c>
      <c r="K23" s="32" t="s">
        <v>13</v>
      </c>
      <c r="L23" s="34" t="s">
        <v>13</v>
      </c>
      <c r="M23" s="34" t="s">
        <v>13</v>
      </c>
    </row>
    <row r="24" ht="20" customHeight="1" spans="2:13" x14ac:dyDescent="0.25">
      <c r="B24" s="32" t="s">
        <v>13</v>
      </c>
      <c r="C24" s="32" t="s">
        <v>13</v>
      </c>
      <c r="D24" s="32" t="s">
        <v>13</v>
      </c>
      <c r="E24" s="30" t="s">
        <v>13</v>
      </c>
      <c r="F24" s="30" t="s">
        <v>13</v>
      </c>
      <c r="G24" s="30" t="s">
        <v>13</v>
      </c>
      <c r="H24" s="30" t="s">
        <v>13</v>
      </c>
      <c r="I24" s="32" t="s">
        <v>13</v>
      </c>
      <c r="J24" s="32" t="s">
        <v>13</v>
      </c>
      <c r="K24" s="32" t="s">
        <v>13</v>
      </c>
      <c r="L24" s="30" t="s">
        <v>13</v>
      </c>
      <c r="M24" s="30" t="s">
        <v>13</v>
      </c>
    </row>
    <row r="25" ht="20" customHeight="1" spans="2:13" x14ac:dyDescent="0.25">
      <c r="B25" s="32" t="s">
        <v>13</v>
      </c>
      <c r="C25" s="32" t="s">
        <v>13</v>
      </c>
      <c r="D25" s="32" t="s">
        <v>13</v>
      </c>
      <c r="E25" s="34" t="s">
        <v>13</v>
      </c>
      <c r="F25" s="34" t="s">
        <v>13</v>
      </c>
      <c r="G25" s="34" t="s">
        <v>13</v>
      </c>
      <c r="H25" s="34" t="s">
        <v>13</v>
      </c>
      <c r="I25" s="32" t="s">
        <v>13</v>
      </c>
      <c r="J25" s="32" t="s">
        <v>13</v>
      </c>
      <c r="K25" s="32" t="s">
        <v>13</v>
      </c>
      <c r="L25" s="34" t="s">
        <v>13</v>
      </c>
      <c r="M25" s="34" t="s">
        <v>13</v>
      </c>
    </row>
  </sheetData>
  <mergeCells count="1">
    <mergeCell ref="B2:M3"/>
  </mergeCells>
  <dataValidations count="2">
    <dataValidation type="list" allowBlank="1" sqref="D6:D25">
      <formula1>"Critical,High,Medium,Low"</formula1>
    </dataValidation>
    <dataValidation type="list" allowBlank="1" sqref="K6:K25">
      <formula1>"Open,In Progress,Fixed,Verified,Closed,Wont Fix"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3" width="25" customWidth="1"/>
    <col min="4" max="4" width="22" customWidth="1"/>
    <col min="5" max="5" width="20" customWidth="1"/>
  </cols>
  <sheetData>
    <row r="1" ht="8" customHeight="1" x14ac:dyDescent="0.25"/>
    <row r="2" ht="22" customHeight="1" spans="2:5" x14ac:dyDescent="0.25">
      <c r="B2" s="18" t="s">
        <v>472</v>
      </c>
      <c r="C2" s="18"/>
      <c r="D2" s="18"/>
      <c r="E2" s="18"/>
    </row>
    <row r="3" ht="22" customHeight="1" spans="2:5" x14ac:dyDescent="0.25">
      <c r="B3" s="18"/>
      <c r="C3" s="18"/>
      <c r="D3" s="18"/>
      <c r="E3" s="18"/>
    </row>
    <row r="5" ht="36" customHeight="1" spans="2:5" x14ac:dyDescent="0.25">
      <c r="B5" s="38" t="s">
        <v>473</v>
      </c>
      <c r="C5" s="38"/>
      <c r="D5" s="38"/>
      <c r="E5" s="38"/>
    </row>
    <row r="7" ht="20" customHeight="1" spans="2:5" x14ac:dyDescent="0.25">
      <c r="B7" s="39" t="s">
        <v>474</v>
      </c>
      <c r="C7" s="39" t="s">
        <v>475</v>
      </c>
      <c r="D7" s="39" t="s">
        <v>476</v>
      </c>
      <c r="E7" s="39" t="s">
        <v>17</v>
      </c>
    </row>
    <row r="8" ht="24" customHeight="1" spans="2:5" x14ac:dyDescent="0.25">
      <c r="B8" s="32" t="s">
        <v>13</v>
      </c>
      <c r="C8" s="20" t="s">
        <v>477</v>
      </c>
      <c r="D8" s="32" t="s">
        <v>13</v>
      </c>
      <c r="E8" s="32" t="s">
        <v>13</v>
      </c>
    </row>
    <row r="9" ht="24" customHeight="1" spans="2:5" x14ac:dyDescent="0.25">
      <c r="B9" s="32" t="s">
        <v>13</v>
      </c>
      <c r="C9" s="20" t="s">
        <v>478</v>
      </c>
      <c r="D9" s="32" t="s">
        <v>13</v>
      </c>
      <c r="E9" s="32" t="s">
        <v>13</v>
      </c>
    </row>
    <row r="10" ht="24" customHeight="1" spans="2:5" x14ac:dyDescent="0.25">
      <c r="B10" s="32" t="s">
        <v>13</v>
      </c>
      <c r="C10" s="20" t="s">
        <v>479</v>
      </c>
      <c r="D10" s="32" t="s">
        <v>13</v>
      </c>
      <c r="E10" s="32" t="s">
        <v>13</v>
      </c>
    </row>
    <row r="11" ht="24" customHeight="1" spans="2:5" x14ac:dyDescent="0.25">
      <c r="B11" s="32" t="s">
        <v>13</v>
      </c>
      <c r="C11" s="20" t="s">
        <v>480</v>
      </c>
      <c r="D11" s="32" t="s">
        <v>13</v>
      </c>
      <c r="E11" s="32" t="s">
        <v>13</v>
      </c>
    </row>
    <row r="12" ht="24" customHeight="1" spans="2:5" x14ac:dyDescent="0.25">
      <c r="B12" s="32" t="s">
        <v>13</v>
      </c>
      <c r="C12" s="20" t="s">
        <v>481</v>
      </c>
      <c r="D12" s="32" t="s">
        <v>13</v>
      </c>
      <c r="E12" s="32" t="s">
        <v>13</v>
      </c>
    </row>
    <row r="15" ht="20" customHeight="1" spans="2:5" x14ac:dyDescent="0.25">
      <c r="B15" s="40" t="s">
        <v>482</v>
      </c>
      <c r="C15" s="40"/>
      <c r="D15" s="40"/>
      <c r="E15" s="40"/>
    </row>
    <row r="16" ht="24" customHeight="1" spans="2:5" x14ac:dyDescent="0.25">
      <c r="B16" s="41" t="s">
        <v>483</v>
      </c>
      <c r="C16" s="41"/>
      <c r="D16" s="41"/>
      <c r="E16" s="41"/>
    </row>
    <row r="18" ht="18" customHeight="1" spans="2:5" x14ac:dyDescent="0.25">
      <c r="B18" s="42" t="s">
        <v>484</v>
      </c>
      <c r="C18" s="42"/>
      <c r="D18" s="42"/>
      <c r="E18" s="42"/>
    </row>
    <row r="19" ht="18" customHeight="1" spans="2:5" x14ac:dyDescent="0.25">
      <c r="B19" s="42"/>
      <c r="C19" s="42"/>
      <c r="D19" s="42"/>
      <c r="E19" s="42"/>
    </row>
    <row r="20" ht="18" customHeight="1" spans="2:5" x14ac:dyDescent="0.25">
      <c r="B20" s="42"/>
      <c r="C20" s="42"/>
      <c r="D20" s="42"/>
      <c r="E20" s="42"/>
    </row>
    <row r="21" ht="18" customHeight="1" spans="2:5" x14ac:dyDescent="0.25">
      <c r="B21" s="42"/>
      <c r="C21" s="42"/>
      <c r="D21" s="42"/>
      <c r="E21" s="42"/>
    </row>
  </sheetData>
  <mergeCells count="5">
    <mergeCell ref="B2:E3"/>
    <mergeCell ref="B5:E5"/>
    <mergeCell ref="B15:E15"/>
    <mergeCell ref="B16:E16"/>
    <mergeCell ref="B18:E21"/>
  </mergeCells>
  <dataValidations count="1">
    <dataValidation type="list" allowBlank="1" sqref="B16">
      <formula1>"PASS - Go Live Approved,FAIL - Go Live Blocked,CONDITIONAL PASS - Go Live with Conditions"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Summary</vt:lpstr>
      <vt:lpstr>Infra Provisioning</vt:lpstr>
      <vt:lpstr>Network Connectivity</vt:lpstr>
      <vt:lpstr>Security &amp; Identity</vt:lpstr>
      <vt:lpstr>App Deployment</vt:lpstr>
      <vt:lpstr>Database Migration</vt:lpstr>
      <vt:lpstr>Integration &amp; API</vt:lpstr>
      <vt:lpstr>Performance &amp; Load</vt:lpstr>
      <vt:lpstr>DR &amp; Backup</vt:lpstr>
      <vt:lpstr>Monitoring &amp; Alerting</vt:lpstr>
      <vt:lpstr>UAT End-to-End</vt:lpstr>
      <vt:lpstr>Defect Log</vt:lpstr>
      <vt:lpstr>Sign-off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 PM Agent Delivery Team</dc:creator>
  <dc:title/>
  <dc:subject/>
  <dc:description/>
  <cp:keywords/>
  <cp:category/>
  <cp:lastModifiedBy>Unknown</cp:lastModifiedBy>
  <dcterms:created xsi:type="dcterms:W3CDTF">2026-08-25T05:59:38Z</dcterms:created>
  <dcterms:modified xsi:type="dcterms:W3CDTF">2026-08-25T05:59:38Z</dcterms:modified>
</cp:coreProperties>
</file>